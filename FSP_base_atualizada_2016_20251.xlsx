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D:\working\waccache\DM3PEPF0001564A\EXCELCNV\96e103c5-fc61-4793-b45e-f4d16b624a6d\"/>
    </mc:Choice>
  </mc:AlternateContent>
  <xr:revisionPtr revIDLastSave="0" documentId="8_{8FB8F245-5780-4AA7-9123-422F9066212A}" xr6:coauthVersionLast="47" xr6:coauthVersionMax="47" xr10:uidLastSave="{00000000-0000-0000-0000-000000000000}"/>
  <bookViews>
    <workbookView xWindow="-60" yWindow="-60" windowWidth="15480" windowHeight="11640" firstSheet="7" activeTab="7" xr2:uid="{00000000-000D-0000-FFFF-FFFF00000000}"/>
  </bookViews>
  <sheets>
    <sheet name="00 Início" sheetId="1" r:id="rId1"/>
    <sheet name="01 Egito Bruto" sheetId="2" r:id="rId2"/>
    <sheet name="02 Municipios Bruto" sheetId="3" r:id="rId3"/>
    <sheet name="03 Municipios Tratado" sheetId="4" r:id="rId4"/>
    <sheet name="04 Deflatores IPCA" sheetId="5" r:id="rId5"/>
    <sheet name="05 Dicionario" sheetId="6" r:id="rId6"/>
    <sheet name="06 Registro Alteracoes" sheetId="7" r:id="rId7"/>
    <sheet name="07 Fontes de Acesso" sheetId="8" r:id="rId8"/>
  </sheets>
  <definedNames>
    <definedName name="_xlnm._FilterDatabase" localSheetId="1" hidden="1">'01 Egito Bruto'!$A$4:$D$14</definedName>
    <definedName name="_xlnm._FilterDatabase" localSheetId="2" hidden="1">'02 Municipios Bruto'!$A$4:$P$24</definedName>
    <definedName name="_xlnm._FilterDatabase" localSheetId="3" hidden="1">'03 Municipios Tratado'!$A$4:$AE$24</definedName>
    <definedName name="_xlnm._FilterDatabase" localSheetId="4" hidden="1">'04 Deflatores IPCA'!$A$4:$E$14</definedName>
    <definedName name="_xlnm._FilterDatabase" localSheetId="5" hidden="1">'05 Dicionario'!$A$4:$G$19</definedName>
    <definedName name="_xlnm._FilterDatabase" localSheetId="6" hidden="1">'06 Registro Alteracoes'!$A$4:$D$13</definedName>
    <definedName name="_xlnm._FilterDatabase" localSheetId="7" hidden="1">'07 Fontes de Acesso'!$A$4:$D$12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<sst xmlns="http://schemas.openxmlformats.org/spreadsheetml/2006/main" count="353" uniqueCount="250">
  <si>
    <t>ATUALIZAÇÃO DA BASE — FINANÇAS DO SETOR PÚBLICO</t>
  </si>
  <si>
    <t>Como usar este arquivo</t>
  </si>
  <si>
    <t>1</t>
  </si>
  <si>
    <t>Comece por esta aba.</t>
  </si>
  <si>
    <t>A estrutura foi numerada para separar leitura, dados brutos, dados tratados, fontes e documentação.</t>
  </si>
  <si>
    <t>2</t>
  </si>
  <si>
    <t>Dados brutos.</t>
  </si>
  <si>
    <t>As abas 02 e 03 preservam os valores coletados diretamente das fontes, antes das transformações monetárias.</t>
  </si>
  <si>
    <t>3</t>
  </si>
  <si>
    <t>Dados tratados.</t>
  </si>
  <si>
    <t>A aba 04 contém valores reais de 2025, indicadores per capita e percentuais derivados.</t>
  </si>
  <si>
    <t>4</t>
  </si>
  <si>
    <t>Fontes.</t>
  </si>
  <si>
    <t>A aba 07 apresenta sites oficiais reais de acesso.</t>
  </si>
  <si>
    <t>5</t>
  </si>
  <si>
    <t>Ausências.</t>
  </si>
  <si>
    <t>Células vazias significam dado não disponível na fonte; não foram convertidas em zero. O PIB municipal não está disponível para 2024–2025 na base usada.</t>
  </si>
  <si>
    <t>Período fiscal municipal</t>
  </si>
  <si>
    <t>2016–2025</t>
  </si>
  <si>
    <t>País</t>
  </si>
  <si>
    <t>Egito — 2016–2025</t>
  </si>
  <si>
    <t>Ano-base dos valores reais</t>
  </si>
  <si>
    <t>2025</t>
  </si>
  <si>
    <t>Municípios</t>
  </si>
  <si>
    <t>Coari/AM (1301209) e Tefé/AM (1304203)</t>
  </si>
  <si>
    <t>Egito — dados brutos atualizados</t>
  </si>
  <si>
    <t>Banco Mundial para crescimento/inflação e FMI para dívida bruta do governo geral. Valores preservados como publicados nas fontes.</t>
  </si>
  <si>
    <t>Ano</t>
  </si>
  <si>
    <t>Crescimento do PIB (%)</t>
  </si>
  <si>
    <t>Inflação (%)</t>
  </si>
  <si>
    <t>Dívida bruta do governo geral (% do PIB)</t>
  </si>
  <si>
    <t>Municípios — dados brutos do SICONFI/IBGE</t>
  </si>
  <si>
    <t>Valores municipais coletados diretamente das fontes. Receitas e despesas do SICONFI estão em R$; PIB municipal está em R$ mil.</t>
  </si>
  <si>
    <t>Município</t>
  </si>
  <si>
    <t>Código IBGE</t>
  </si>
  <si>
    <t>Receita total nominal (R$)</t>
  </si>
  <si>
    <t>Despesa empenhada nominal (R$)</t>
  </si>
  <si>
    <t>Receita tributária nominal (R$)</t>
  </si>
  <si>
    <t>Transferências correntes nominal (R$)</t>
  </si>
  <si>
    <t>FPM nominal (R$)</t>
  </si>
  <si>
    <t>FUNDEB nominal (R$)</t>
  </si>
  <si>
    <t>ICMS nominal (R$)</t>
  </si>
  <si>
    <t>ISSQN nominal (R$)</t>
  </si>
  <si>
    <t>Royalties de petróleo nominal (R$)</t>
  </si>
  <si>
    <t>População (pessoas)</t>
  </si>
  <si>
    <t>PIB nominal (R$ mil)</t>
  </si>
  <si>
    <t>PIB per capita nominal (R$)</t>
  </si>
  <si>
    <t>url_fonte</t>
  </si>
  <si>
    <t>Coari</t>
  </si>
  <si>
    <t>https://apidatalake.tesouro.gov.br/ords/cdwhprd/siconfi/tt/dca?an_exercicio=2016&amp;id_ente=1301209</t>
  </si>
  <si>
    <t>Tefé</t>
  </si>
  <si>
    <t>https://apidatalake.tesouro.gov.br/ords/cdwhprd/siconfi/tt/dca?an_exercicio=2016&amp;id_ente=1304203</t>
  </si>
  <si>
    <t>https://apidatalake.tesouro.gov.br/ords/cdwhprd/siconfi/tt/dca?an_exercicio=2017&amp;id_ente=1301209</t>
  </si>
  <si>
    <t>https://apidatalake.tesouro.gov.br/ords/cdwhprd/siconfi/tt/dca?an_exercicio=2017&amp;id_ente=1304203</t>
  </si>
  <si>
    <t>https://apidatalake.tesouro.gov.br/ords/cdwhprd/siconfi/tt/dca?an_exercicio=2018&amp;id_ente=1301209</t>
  </si>
  <si>
    <t>https://apidatalake.tesouro.gov.br/ords/cdwhprd/siconfi/tt/dca?an_exercicio=2018&amp;id_ente=1304203</t>
  </si>
  <si>
    <t>https://apidatalake.tesouro.gov.br/ords/cdwhprd/siconfi/tt/dca?an_exercicio=2019&amp;id_ente=1301209</t>
  </si>
  <si>
    <t>https://apidatalake.tesouro.gov.br/ords/cdwhprd/siconfi/tt/dca?an_exercicio=2019&amp;id_ente=1304203</t>
  </si>
  <si>
    <t>https://apidatalake.tesouro.gov.br/ords/cdwhprd/siconfi/tt/dca?an_exercicio=2020&amp;id_ente=1301209</t>
  </si>
  <si>
    <t>https://apidatalake.tesouro.gov.br/ords/cdwhprd/siconfi/tt/dca?an_exercicio=2020&amp;id_ente=1304203</t>
  </si>
  <si>
    <t>https://apidatalake.tesouro.gov.br/ords/cdwhprd/siconfi/tt/dca?an_exercicio=2021&amp;id_ente=1301209</t>
  </si>
  <si>
    <t>https://apidatalake.tesouro.gov.br/ords/cdwhprd/siconfi/tt/dca?an_exercicio=2021&amp;id_ente=1304203</t>
  </si>
  <si>
    <t>https://apidatalake.tesouro.gov.br/ords/cdwhprd/siconfi/tt/dca?an_exercicio=2022&amp;id_ente=1301209</t>
  </si>
  <si>
    <t>https://apidatalake.tesouro.gov.br/ords/cdwhprd/siconfi/tt/dca?an_exercicio=2022&amp;id_ente=1304203</t>
  </si>
  <si>
    <t>https://apidatalake.tesouro.gov.br/ords/cdwhprd/siconfi/tt/dca?an_exercicio=2023&amp;id_ente=1301209</t>
  </si>
  <si>
    <t>https://apidatalake.tesouro.gov.br/ords/cdwhprd/siconfi/tt/dca?an_exercicio=2023&amp;id_ente=1304203</t>
  </si>
  <si>
    <t>https://apidatalake.tesouro.gov.br/ords/cdwhprd/siconfi/tt/dca?an_exercicio=2024&amp;id_ente=1301209</t>
  </si>
  <si>
    <t>https://apidatalake.tesouro.gov.br/ords/cdwhprd/siconfi/tt/dca?an_exercicio=2024&amp;id_ente=1304203</t>
  </si>
  <si>
    <t>https://apidatalake.tesouro.gov.br/ords/cdwhprd/siconfi/tt/dca?an_exercicio=2025&amp;id_ente=1301209</t>
  </si>
  <si>
    <t>https://apidatalake.tesouro.gov.br/ords/cdwhprd/siconfi/tt/dca?an_exercicio=2025&amp;id_ente=1304203</t>
  </si>
  <si>
    <t>Municípios — base tratada para análise</t>
  </si>
  <si>
    <t>Valores monetários reais estão em R$ de 2025. Percentuais e medidas per capita são indicadores derivados; células vazias não foram substituídas por zero.</t>
  </si>
  <si>
    <t>Receita total real (R$ de 2025)</t>
  </si>
  <si>
    <t>Despesa empenhada real (R$ de 2025)</t>
  </si>
  <si>
    <t>Receita tributária real (R$ de 2025)</t>
  </si>
  <si>
    <t>ISSQN real (R$ de 2025)</t>
  </si>
  <si>
    <t>FPM real (R$ de 2025)</t>
  </si>
  <si>
    <t>ICMS real (R$ de 2025)</t>
  </si>
  <si>
    <t>Transferências correntes reais (R$ de 2025)</t>
  </si>
  <si>
    <t>FUNDEB real (R$ de 2025)</t>
  </si>
  <si>
    <t>Royalties de petróleo reais (R$ de 2025)</t>
  </si>
  <si>
    <t>PIB per capita real (R$ de 2025)</t>
  </si>
  <si>
    <t>Receita per capita real (R$ de 2025)</t>
  </si>
  <si>
    <t>Despesa per capita real (R$ de 2025)</t>
  </si>
  <si>
    <t>PIB real (R$ mil de 2025)</t>
  </si>
  <si>
    <t>Autonomia tributária (%)</t>
  </si>
  <si>
    <t>Dependência de transferências (%)</t>
  </si>
  <si>
    <t>Resultado orçamentário nominal (R$)</t>
  </si>
  <si>
    <t>Resultado orçamentário real (R$ de 2025)</t>
  </si>
  <si>
    <t>Deflatores — IPCA/BCB</t>
  </si>
  <si>
    <t>Índice anual formado com a variação mensal da série SGS 433. Deflator para 2025 = índice de 2025 dividido pelo índice do ano.</t>
  </si>
  <si>
    <t>ano</t>
  </si>
  <si>
    <t>ipca anual pct</t>
  </si>
  <si>
    <t>indice ipca fim ano</t>
  </si>
  <si>
    <t>deflator para 2025</t>
  </si>
  <si>
    <t>formula</t>
  </si>
  <si>
    <t>deflator_2025 = índice_2025 / índice_ano</t>
  </si>
  <si>
    <t>Dicionário de variáveis</t>
  </si>
  <si>
    <t>Consulte esta tabela para definição, cobertura, unidade, tratamento de ausentes e transformação de cada variável.</t>
  </si>
  <si>
    <t>variável</t>
  </si>
  <si>
    <t>definição</t>
  </si>
  <si>
    <t>fonte</t>
  </si>
  <si>
    <t>período de cobertura</t>
  </si>
  <si>
    <t>unidade</t>
  </si>
  <si>
    <t>ausentes</t>
  </si>
  <si>
    <t>tratamento transformação</t>
  </si>
  <si>
    <t>Ano calendário do exercício fiscal/econômico</t>
  </si>
  <si>
    <t>SICONFI, IBGE, Banco Mundial e FMI</t>
  </si>
  <si>
    <t>2016–2025; PIB municipal até 2023</t>
  </si>
  <si>
    <t>Não aplicável</t>
  </si>
  <si>
    <t>Chave temporal</t>
  </si>
  <si>
    <t>receita_total_nominal</t>
  </si>
  <si>
    <t>Total das receitas orçamentárias brutas realizadas</t>
  </si>
  <si>
    <t>SICONFI DCA, Anexo I-C, TotalReceitas, Receitas Brutas Realizadas</t>
  </si>
  <si>
    <t>2016–2025, Coari e Tefé</t>
  </si>
  <si>
    <t>R$</t>
  </si>
  <si>
    <t>Ausência mantida como NA</t>
  </si>
  <si>
    <t>Valor nominal publicado pelo ente</t>
  </si>
  <si>
    <t>despesa_empenhada_nominal</t>
  </si>
  <si>
    <t>Total geral da despesa empenhada</t>
  </si>
  <si>
    <t>SICONFI DCA, Anexo I-D, TotalDespesas, Despesas Empenhadas</t>
  </si>
  <si>
    <t>Execução por empenho; não substituir por liquidada/paga</t>
  </si>
  <si>
    <t>receita_tributaria_nominal</t>
  </si>
  <si>
    <t>Receita tributária municipal agregada</t>
  </si>
  <si>
    <t>SICONFI DCA, Anexo I-C, contas RO1.1.0.0</t>
  </si>
  <si>
    <t>NA mantido</t>
  </si>
  <si>
    <t>Filtro por código contábil</t>
  </si>
  <si>
    <t>transferencias_correntes_nominal</t>
  </si>
  <si>
    <t>Transferências correntes recebidas</t>
  </si>
  <si>
    <t>SICONFI DCA, Anexo I-C, contas RO1.7.0.0</t>
  </si>
  <si>
    <t>fpm_nominal</t>
  </si>
  <si>
    <t>Cota-parte do Fundo de Participação dos Municípios</t>
  </si>
  <si>
    <t>SICONFI DCA, Anexo I-C, RO1.7.1.1.51</t>
  </si>
  <si>
    <t>Filtro por código contábil; sem somar níveis pai</t>
  </si>
  <si>
    <t>fundeb_nominal</t>
  </si>
  <si>
    <t>Transferências do FUNDEB</t>
  </si>
  <si>
    <t>SICONFI DCA, Anexo I-C, RO1.7.5.1</t>
  </si>
  <si>
    <t>Classificação pode mudar entre exercícios; código/descrição registrados no bruto</t>
  </si>
  <si>
    <t>icms_nominal</t>
  </si>
  <si>
    <t>Cota-parte do ICMS</t>
  </si>
  <si>
    <t>SICONFI DCA, Anexo I-C, RO1.7.2.1.50</t>
  </si>
  <si>
    <t>issqn_nominal</t>
  </si>
  <si>
    <t>Imposto sobre Serviços de Qualquer Natureza</t>
  </si>
  <si>
    <t>SICONFI DCA, Anexo I-C, RO1.1.1.4.51</t>
  </si>
  <si>
    <t>royalties_petroleo_nominal</t>
  </si>
  <si>
    <t>Cotas específicas de compensação financeira pela produção de petróleo</t>
  </si>
  <si>
    <t>SICONFI DCA, Anexo I-C, RO1.7.1.2.52 e RO1.7.2.2.52</t>
  </si>
  <si>
    <t>Soma apenas contas específicas de petróleo; sem incluir CFEM</t>
  </si>
  <si>
    <t>populacao</t>
  </si>
  <si>
    <t>População residente estimada; em 2022–2023, população implícita publicada pelo IBGE via PIB/PIB per capita</t>
  </si>
  <si>
    <t>IBGE SIDRA tabela 6579, variável 9324; IBGE PIB dos Municípios para a razão 2022–2023</t>
  </si>
  <si>
    <t>pessoas</t>
  </si>
  <si>
    <t>NA mantido quando não há PIB/PIB per capita</t>
  </si>
  <si>
    <t>2022–2023: população = PIB (R$ mil) × 1.000 / PIB per capita; não é zero nem interpolação</t>
  </si>
  <si>
    <t>pib_nominal_mil_reais</t>
  </si>
  <si>
    <t>Produto Interno Bruto municipal a preços correntes</t>
  </si>
  <si>
    <t>IBGE PIB dos Municípios, base 2010–2023</t>
  </si>
  <si>
    <t>2016–2023</t>
  </si>
  <si>
    <t>R$ mil</t>
  </si>
  <si>
    <t>NA em 2024–2025 por indisponibilidade</t>
  </si>
  <si>
    <t>O IBGE informa que 2022–2023 não têm abertura setorial tradicional</t>
  </si>
  <si>
    <t>pib_crescimento_pct</t>
  </si>
  <si>
    <t>Crescimento anual do PIB real</t>
  </si>
  <si>
    <t>Banco Mundial, indicador NY.GDP.MKTP.KD.ZG</t>
  </si>
  <si>
    <t>2016–2025, Egito</t>
  </si>
  <si>
    <t>%</t>
  </si>
  <si>
    <t>Indicador anual do WDI</t>
  </si>
  <si>
    <t>inflacao_ipca_pct</t>
  </si>
  <si>
    <t>Inflação anual de preços ao consumidor</t>
  </si>
  <si>
    <t>Banco Mundial, indicador FP.CPI.TOTL.ZG</t>
  </si>
  <si>
    <t>divida_governo_geral_pct_pib</t>
  </si>
  <si>
    <t>Dívida bruta do governo geral</t>
  </si>
  <si>
    <t>FMI DataMapper, GGXWDG_NGDP</t>
  </si>
  <si>
    <t>% do PIB</t>
  </si>
  <si>
    <t>Base internacional com metadados verificáveis</t>
  </si>
  <si>
    <t>Registro de alterações</t>
  </si>
  <si>
    <t>Descrição do que foi mantido, atualizado, corrigido ou ampliado em relação ao trabalho anterior.</t>
  </si>
  <si>
    <t>tipo</t>
  </si>
  <si>
    <t>objeto</t>
  </si>
  <si>
    <t>alteração</t>
  </si>
  <si>
    <t>observação</t>
  </si>
  <si>
    <t>Dados originais</t>
  </si>
  <si>
    <t xml:space="preserve">Planilha Excel </t>
  </si>
  <si>
    <t xml:space="preserve">Mantida em cópia separada </t>
  </si>
  <si>
    <t>Sem alteração</t>
  </si>
  <si>
    <t>Dados brutos atualizados</t>
  </si>
  <si>
    <t>Egito</t>
  </si>
  <si>
    <t>Atualizados de 2014–2023 para 2016–2025; PIB e inflação via Banco Mundial; dívida via FMI</t>
  </si>
  <si>
    <t>Substituição da fonte de dívida: CEIC/World Bank citado no trabalho para FMI, por metadados verificáveis</t>
  </si>
  <si>
    <t>Coari e Tefé</t>
  </si>
  <si>
    <t>Incluídos exercícios 2016–2025 diretamente da API DCA do SICONFI</t>
  </si>
  <si>
    <t>Período de dez anos mais recente com DCA disponível para os dois municípios</t>
  </si>
  <si>
    <t>População</t>
  </si>
  <si>
    <t>Incluída série anual 2016–2025 do IBGE SIDRA</t>
  </si>
  <si>
    <t>Usada para per capita; sem zero para ausências</t>
  </si>
  <si>
    <t>PIB municipal</t>
  </si>
  <si>
    <t>Incluída série 2016–2023 da base IBGE 2010–2023</t>
  </si>
  <si>
    <t>2024–2025 permanecem NA porque não há divulgação municipal correspondente na base consultada</t>
  </si>
  <si>
    <t>Dados tratados</t>
  </si>
  <si>
    <t>Valores monetários</t>
  </si>
  <si>
    <t>Criadas variáveis reais em R$ de 2025 usando IPCA/BCB dezembro-dezembro</t>
  </si>
  <si>
    <t>Fórmula: valor_real_2025 = valor_nominal × índice_IPCA_2025/índice_IPCA_ano</t>
  </si>
  <si>
    <t>Indicadores derivados</t>
  </si>
  <si>
    <t>Criados receita/despesa per capita, autonomia tributária, dependência de transferências e resultado orçamentário</t>
  </si>
  <si>
    <t>Per capita usa população IBGE; percentuais usam receita total nominal</t>
  </si>
  <si>
    <t>Correção metodológica</t>
  </si>
  <si>
    <t>Royalties</t>
  </si>
  <si>
    <t>Separadas compensações específicas de petróleo de CFEM e demais recursos naturais</t>
  </si>
  <si>
    <t>Evita classificar toda compensação financeira como petróleo</t>
  </si>
  <si>
    <t>Quebras de série</t>
  </si>
  <si>
    <t>Classificações contábeis</t>
  </si>
  <si>
    <t>Os códigos e rótulos dos itens brutos são mantidos; filtros utilizam os códigos disponíveis em cada exercício</t>
  </si>
  <si>
    <t>Não foi feita imputação ou soma de níveis pai e filho</t>
  </si>
  <si>
    <t>Fontes oficiais e como acessar</t>
  </si>
  <si>
    <t>Todos os endereços abaixo foram verificados como sites/API/arquivo oficiais. As células de URL são hyperlinks clicáveis.</t>
  </si>
  <si>
    <t>ID</t>
  </si>
  <si>
    <t>Fonte oficial</t>
  </si>
  <si>
    <t>Variável/conteúdo</t>
  </si>
  <si>
    <t>Portal oficial</t>
  </si>
  <si>
    <t>F1</t>
  </si>
  <si>
    <t>Tesouro Nacional / SICONFI</t>
  </si>
  <si>
    <t>Receitas, despesas e transferências municipais</t>
  </si>
  <si>
    <t>https://siconfi.tesouro.gov.br/siconfi/index.jsf</t>
  </si>
  <si>
    <t>F2</t>
  </si>
  <si>
    <t>Tesouro Nacional / documentação SICONFI</t>
  </si>
  <si>
    <t>Metadados e parâmetros da API DCA</t>
  </si>
  <si>
    <t>https://apidatalake.tesouro.gov.br/docs/siconfi/</t>
  </si>
  <si>
    <t>F3</t>
  </si>
  <si>
    <t>IBGE SIDRA — tabela 6579</t>
  </si>
  <si>
    <t>População residente estimada</t>
  </si>
  <si>
    <t>https://sidra.ibge.gov.br/tabela/6579</t>
  </si>
  <si>
    <t>F4</t>
  </si>
  <si>
    <t>IBGE — PIB dos Municípios</t>
  </si>
  <si>
    <t>PIB e PIB per capita municipal</t>
  </si>
  <si>
    <t>https://www.ibge.gov.br/estatisticas/economicas/contas-nacionais/9088-produto-interno-bruto-dos-municipios.html</t>
  </si>
  <si>
    <t>F5</t>
  </si>
  <si>
    <t>Banco Mundial — World Development Indicators</t>
  </si>
  <si>
    <t>Crescimento do PIB real do Egito</t>
  </si>
  <si>
    <t>https://data.worldbank.org/indicator/NY.GDP.MKTP.KD.ZG?locations=EG</t>
  </si>
  <si>
    <t>F6</t>
  </si>
  <si>
    <t>Inflação ao consumidor do Egito</t>
  </si>
  <si>
    <t>https://data.worldbank.org/indicator/FP.CPI.TOTL.ZG?locations=EG</t>
  </si>
  <si>
    <t>F7</t>
  </si>
  <si>
    <t>FMI DataMapper</t>
  </si>
  <si>
    <t>Dívida bruta do governo geral do Egito</t>
  </si>
  <si>
    <t>https://www.imf.org/external/datamapper/profile/EGY</t>
  </si>
  <si>
    <t>F8</t>
  </si>
  <si>
    <t>Banco Central do Brasil — SGS</t>
  </si>
  <si>
    <t>IPCA para deflação em valores reais</t>
  </si>
  <si>
    <t>https://www3.bcb.gov.br/sgspub/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</si>
</sst>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1F4E78"/>
      <name val="Calibri"/>
    </font>
    <font>
      <b/>
      <sz val="11"/>
      <color rgb="FF1F4E78"/>
      <name val="Calibri"/>
    </font>
    <font>
      <b/>
      <sz val="15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/>
    <xf numFmtId="0" fontId="6" fillId="2" borderId="0" xfId="0" applyFont="1" applyFill="1" applyAlignment="1">
      <alignment vertical="center" wrapText="1"/>
    </xf>
    <xf numFmtId="3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2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0" fontId="7" fillId="0" borderId="0" xfId="1"/>
    <xf numFmtId="0" fontId="5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3.bcb.gov.br/sgspub/" TargetMode="External"/><Relationship Id="rId3" Type="http://schemas.openxmlformats.org/officeDocument/2006/relationships/hyperlink" Target="https://sidra.ibge.gov.br/tabela/6579" TargetMode="External"/><Relationship Id="rId7" Type="http://schemas.openxmlformats.org/officeDocument/2006/relationships/hyperlink" Target="https://www.imf.org/external/datamapper/profile/EGY" TargetMode="External"/><Relationship Id="rId2" Type="http://schemas.openxmlformats.org/officeDocument/2006/relationships/hyperlink" Target="https://apidatalake.tesouro.gov.br/docs/siconfi/" TargetMode="External"/><Relationship Id="rId1" Type="http://schemas.openxmlformats.org/officeDocument/2006/relationships/hyperlink" Target="https://siconfi.tesouro.gov.br/siconfi/index.jsf" TargetMode="External"/><Relationship Id="rId6" Type="http://schemas.openxmlformats.org/officeDocument/2006/relationships/hyperlink" Target="https://data.worldbank.org/indicator/FP.CPI.TOTL.ZG?locations=EG" TargetMode="External"/><Relationship Id="rId5" Type="http://schemas.openxmlformats.org/officeDocument/2006/relationships/hyperlink" Target="https://data.worldbank.org/indicator/NY.GDP.MKTP.KD.ZG?locations=EG" TargetMode="External"/><Relationship Id="rId4" Type="http://schemas.openxmlformats.org/officeDocument/2006/relationships/hyperlink" Target="https://www.ibge.gov.br/estatisticas/economicas/contas-nacionais/9088-produto-interno-bruto-dos-municipio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15"/>
  <sheetViews>
    <sheetView showGridLines="0" topLeftCell="A8" workbookViewId="0">
      <selection activeCell="F6" sqref="F6"/>
    </sheetView>
  </sheetViews>
  <sheetFormatPr defaultRowHeight="15"/>
  <cols>
    <col min="1" max="1" width="12" customWidth="1"/>
    <col min="2" max="2" width="32" customWidth="1"/>
    <col min="3" max="4" width="28" customWidth="1"/>
    <col min="5" max="8" width="18" customWidth="1"/>
  </cols>
  <sheetData>
    <row r="1" spans="1:8" ht="33.950000000000003" customHeight="1">
      <c r="A1" s="17" t="s">
        <v>0</v>
      </c>
      <c r="B1" s="18"/>
      <c r="C1" s="18"/>
      <c r="D1" s="18"/>
      <c r="E1" s="18"/>
      <c r="F1" s="18"/>
      <c r="G1" s="18"/>
      <c r="H1" s="18"/>
    </row>
    <row r="3" spans="1:8" ht="17.25">
      <c r="A3" s="19" t="s">
        <v>1</v>
      </c>
      <c r="B3" s="18"/>
      <c r="C3" s="18"/>
      <c r="D3" s="18"/>
      <c r="E3" s="18"/>
      <c r="F3" s="18"/>
      <c r="G3" s="18"/>
      <c r="H3" s="18"/>
    </row>
    <row r="4" spans="1:8" ht="38.1" customHeight="1">
      <c r="A4" s="1"/>
      <c r="B4" s="1"/>
      <c r="C4" s="1"/>
      <c r="D4" s="1"/>
      <c r="E4" s="1"/>
      <c r="F4" s="1"/>
      <c r="G4" s="1"/>
      <c r="H4" s="1"/>
    </row>
    <row r="5" spans="1:8" ht="38.1" customHeight="1">
      <c r="A5" s="2" t="s">
        <v>2</v>
      </c>
      <c r="B5" s="2" t="s">
        <v>3</v>
      </c>
      <c r="C5" s="2" t="s">
        <v>4</v>
      </c>
    </row>
    <row r="6" spans="1:8" ht="38.1" customHeight="1">
      <c r="A6" s="3" t="s">
        <v>5</v>
      </c>
      <c r="B6" s="3" t="s">
        <v>6</v>
      </c>
      <c r="C6" s="3" t="s">
        <v>7</v>
      </c>
    </row>
    <row r="7" spans="1:8" ht="38.1" customHeight="1">
      <c r="A7" s="2" t="s">
        <v>8</v>
      </c>
      <c r="B7" s="2" t="s">
        <v>9</v>
      </c>
      <c r="C7" s="2" t="s">
        <v>10</v>
      </c>
    </row>
    <row r="8" spans="1:8" ht="30.75">
      <c r="A8" s="3" t="s">
        <v>11</v>
      </c>
      <c r="B8" s="3" t="s">
        <v>12</v>
      </c>
      <c r="C8" s="3" t="s">
        <v>13</v>
      </c>
    </row>
    <row r="9" spans="1:8" ht="91.5">
      <c r="A9" s="2" t="s">
        <v>14</v>
      </c>
      <c r="B9" s="2" t="s">
        <v>15</v>
      </c>
      <c r="C9" s="2" t="s">
        <v>16</v>
      </c>
    </row>
    <row r="12" spans="1:8">
      <c r="A12" s="4" t="s">
        <v>17</v>
      </c>
      <c r="B12" t="s">
        <v>18</v>
      </c>
    </row>
    <row r="13" spans="1:8">
      <c r="A13" s="4" t="s">
        <v>19</v>
      </c>
      <c r="B13" t="s">
        <v>20</v>
      </c>
    </row>
    <row r="14" spans="1:8">
      <c r="A14" s="4" t="s">
        <v>21</v>
      </c>
      <c r="B14" t="s">
        <v>22</v>
      </c>
    </row>
    <row r="15" spans="1:8">
      <c r="A15" s="4" t="s">
        <v>23</v>
      </c>
      <c r="B15" t="s">
        <v>24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D14"/>
  <sheetViews>
    <sheetView showGridLines="0" workbookViewId="0">
      <pane ySplit="4" topLeftCell="A5" activePane="bottomLeft" state="frozen"/>
      <selection pane="bottomLeft" activeCell="H4" sqref="H4"/>
    </sheetView>
  </sheetViews>
  <sheetFormatPr defaultRowHeight="15"/>
  <cols>
    <col min="1" max="1" width="6.5703125" bestFit="1" customWidth="1"/>
    <col min="2" max="2" width="24" customWidth="1"/>
    <col min="3" max="3" width="18" customWidth="1"/>
    <col min="4" max="4" width="34.85546875" bestFit="1" customWidth="1"/>
  </cols>
  <sheetData>
    <row r="1" spans="1:4" ht="27.95" customHeight="1">
      <c r="A1" s="16" t="s">
        <v>25</v>
      </c>
      <c r="B1" s="18"/>
      <c r="C1" s="18"/>
      <c r="D1" s="18"/>
    </row>
    <row r="2" spans="1:4" ht="42" customHeight="1">
      <c r="A2" s="15" t="s">
        <v>26</v>
      </c>
      <c r="B2" s="18"/>
      <c r="C2" s="18"/>
      <c r="D2" s="18"/>
    </row>
    <row r="4" spans="1:4" ht="38.1" customHeight="1">
      <c r="A4" s="5" t="s">
        <v>27</v>
      </c>
      <c r="B4" s="5" t="s">
        <v>28</v>
      </c>
      <c r="C4" s="5" t="s">
        <v>29</v>
      </c>
      <c r="D4" s="5" t="s">
        <v>30</v>
      </c>
    </row>
    <row r="5" spans="1:4">
      <c r="A5" s="8">
        <v>2016</v>
      </c>
      <c r="B5" s="7">
        <v>4.34664345601914</v>
      </c>
      <c r="C5" s="7">
        <v>13.8136062148289</v>
      </c>
      <c r="D5" s="7">
        <v>91.6</v>
      </c>
    </row>
    <row r="6" spans="1:4">
      <c r="A6" s="11">
        <v>2017</v>
      </c>
      <c r="B6" s="10">
        <v>4.1812209996156202</v>
      </c>
      <c r="C6" s="10">
        <v>29.506608394003798</v>
      </c>
      <c r="D6" s="10">
        <v>97.8</v>
      </c>
    </row>
    <row r="7" spans="1:4">
      <c r="A7" s="8">
        <v>2018</v>
      </c>
      <c r="B7" s="7">
        <v>5.33110861887155</v>
      </c>
      <c r="C7" s="7">
        <v>14.4014657807421</v>
      </c>
      <c r="D7" s="7">
        <v>87.9</v>
      </c>
    </row>
    <row r="8" spans="1:4">
      <c r="A8" s="11">
        <v>2019</v>
      </c>
      <c r="B8" s="10">
        <v>5.5520930708422203</v>
      </c>
      <c r="C8" s="10">
        <v>9.1527995932480302</v>
      </c>
      <c r="D8" s="10">
        <v>80.099999999999994</v>
      </c>
    </row>
    <row r="9" spans="1:4">
      <c r="A9" s="8">
        <v>2020</v>
      </c>
      <c r="B9" s="7">
        <v>3.55016483883115</v>
      </c>
      <c r="C9" s="7">
        <v>5.0449328897753798</v>
      </c>
      <c r="D9" s="7">
        <v>86.2</v>
      </c>
    </row>
    <row r="10" spans="1:4">
      <c r="A10" s="11">
        <v>2021</v>
      </c>
      <c r="B10" s="10">
        <v>3.2906460119324499</v>
      </c>
      <c r="C10" s="10">
        <v>5.21404940513042</v>
      </c>
      <c r="D10" s="10">
        <v>89.9</v>
      </c>
    </row>
    <row r="11" spans="1:4">
      <c r="A11" s="8">
        <v>2022</v>
      </c>
      <c r="B11" s="7">
        <v>6.5878456087046704</v>
      </c>
      <c r="C11" s="7">
        <v>13.8956609775177</v>
      </c>
      <c r="D11" s="7">
        <v>88.5</v>
      </c>
    </row>
    <row r="12" spans="1:4">
      <c r="A12" s="11">
        <v>2023</v>
      </c>
      <c r="B12" s="10">
        <v>3.76028052279247</v>
      </c>
      <c r="C12" s="10">
        <v>33.884776311554603</v>
      </c>
      <c r="D12" s="10">
        <v>95.9</v>
      </c>
    </row>
    <row r="13" spans="1:4">
      <c r="A13" s="8">
        <v>2024</v>
      </c>
      <c r="B13" s="7">
        <v>2.3991692678251</v>
      </c>
      <c r="C13" s="7">
        <v>28.2705899322082</v>
      </c>
      <c r="D13" s="7">
        <v>90.9</v>
      </c>
    </row>
    <row r="14" spans="1:4">
      <c r="A14" s="11">
        <v>2025</v>
      </c>
      <c r="B14" s="10">
        <v>4.3920106857018801</v>
      </c>
      <c r="C14" s="10">
        <v>14.0735136645933</v>
      </c>
      <c r="D14" s="10">
        <v>86.8</v>
      </c>
    </row>
  </sheetData>
  <autoFilter ref="A4:D14" xr:uid="{00000000-0009-0000-0000-000001000000}"/>
  <mergeCells count="2">
    <mergeCell ref="A2:D2"/>
    <mergeCell ref="A1:D1"/>
  </mergeCells>
  <conditionalFormatting sqref="B5:D14">
    <cfRule type="colorScale" priority="3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P24"/>
  <sheetViews>
    <sheetView showGridLines="0" workbookViewId="0">
      <pane ySplit="4" topLeftCell="A22" activePane="bottomLeft" state="frozen"/>
      <selection pane="bottomLeft" activeCell="A5" sqref="A5"/>
    </sheetView>
  </sheetViews>
  <sheetFormatPr defaultRowHeight="15"/>
  <cols>
    <col min="1" max="2" width="12" customWidth="1"/>
    <col min="3" max="3" width="13" customWidth="1"/>
    <col min="4" max="4" width="28" customWidth="1"/>
    <col min="5" max="5" width="32" customWidth="1"/>
    <col min="6" max="6" width="33" customWidth="1"/>
    <col min="7" max="7" width="36" customWidth="1"/>
    <col min="8" max="8" width="18" customWidth="1"/>
    <col min="9" max="9" width="21" customWidth="1"/>
    <col min="10" max="10" width="19" customWidth="1"/>
    <col min="11" max="11" width="20" customWidth="1"/>
    <col min="12" max="12" width="36" customWidth="1"/>
    <col min="13" max="13" width="21" customWidth="1"/>
    <col min="14" max="14" width="22" customWidth="1"/>
    <col min="15" max="15" width="29" customWidth="1"/>
    <col min="16" max="16" width="36" customWidth="1"/>
  </cols>
  <sheetData>
    <row r="1" spans="1:16" ht="27.95" customHeight="1">
      <c r="A1" s="16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42" customHeight="1">
      <c r="A2" s="15" t="s">
        <v>32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1:16" ht="38.1" customHeight="1">
      <c r="A4" s="5" t="s">
        <v>27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45</v>
      </c>
      <c r="O4" s="5" t="s">
        <v>46</v>
      </c>
      <c r="P4" s="5" t="s">
        <v>47</v>
      </c>
    </row>
    <row r="5" spans="1:16" ht="45">
      <c r="A5" s="8">
        <v>2016</v>
      </c>
      <c r="B5" s="8" t="s">
        <v>48</v>
      </c>
      <c r="C5" s="6">
        <v>1301209</v>
      </c>
      <c r="D5" s="12">
        <v>205621300.99000001</v>
      </c>
      <c r="E5" s="12">
        <v>215752823.53</v>
      </c>
      <c r="F5" s="12">
        <v>4226149.37</v>
      </c>
      <c r="G5" s="12">
        <v>194389126.63999999</v>
      </c>
      <c r="H5" s="12"/>
      <c r="I5" s="12"/>
      <c r="J5" s="12"/>
      <c r="K5" s="12"/>
      <c r="L5" s="12"/>
      <c r="M5" s="6">
        <v>83929</v>
      </c>
      <c r="N5" s="12">
        <v>1170225.2949999999</v>
      </c>
      <c r="O5" s="12">
        <v>13943.04</v>
      </c>
      <c r="P5" s="2" t="s">
        <v>49</v>
      </c>
    </row>
    <row r="6" spans="1:16" ht="45">
      <c r="A6" s="11">
        <v>2016</v>
      </c>
      <c r="B6" s="11" t="s">
        <v>50</v>
      </c>
      <c r="C6" s="9">
        <v>1304203</v>
      </c>
      <c r="D6" s="13">
        <v>127255808.22</v>
      </c>
      <c r="E6" s="13">
        <v>116087026.94</v>
      </c>
      <c r="F6" s="13">
        <v>4816870.2699999996</v>
      </c>
      <c r="G6" s="13">
        <v>115139934.31</v>
      </c>
      <c r="H6" s="13"/>
      <c r="I6" s="13"/>
      <c r="J6" s="13"/>
      <c r="K6" s="13"/>
      <c r="L6" s="13"/>
      <c r="M6" s="9">
        <v>62230</v>
      </c>
      <c r="N6" s="13">
        <v>657169.84900000005</v>
      </c>
      <c r="O6" s="13">
        <v>10560.34</v>
      </c>
      <c r="P6" s="3" t="s">
        <v>51</v>
      </c>
    </row>
    <row r="7" spans="1:16" ht="45">
      <c r="A7" s="8">
        <v>2017</v>
      </c>
      <c r="B7" s="8" t="s">
        <v>48</v>
      </c>
      <c r="C7" s="6">
        <v>1301209</v>
      </c>
      <c r="D7" s="12">
        <v>252725423.16999999</v>
      </c>
      <c r="E7" s="12">
        <v>223233639.5</v>
      </c>
      <c r="F7" s="12">
        <v>27661327.57</v>
      </c>
      <c r="G7" s="12">
        <v>216391216.03</v>
      </c>
      <c r="H7" s="12"/>
      <c r="I7" s="12"/>
      <c r="J7" s="12"/>
      <c r="K7" s="12"/>
      <c r="L7" s="12"/>
      <c r="M7" s="6">
        <v>84762</v>
      </c>
      <c r="N7" s="12">
        <v>1322937.213</v>
      </c>
      <c r="O7" s="12">
        <v>15607.67</v>
      </c>
      <c r="P7" s="2" t="s">
        <v>52</v>
      </c>
    </row>
    <row r="8" spans="1:16" ht="45">
      <c r="A8" s="11">
        <v>2017</v>
      </c>
      <c r="B8" s="11" t="s">
        <v>50</v>
      </c>
      <c r="C8" s="9">
        <v>1304203</v>
      </c>
      <c r="D8" s="13">
        <v>142248580.09999999</v>
      </c>
      <c r="E8" s="13">
        <v>134280505.25</v>
      </c>
      <c r="F8" s="13">
        <v>7778445.2699999996</v>
      </c>
      <c r="G8" s="13">
        <v>130061533.19</v>
      </c>
      <c r="H8" s="13"/>
      <c r="I8" s="13"/>
      <c r="J8" s="13"/>
      <c r="K8" s="13"/>
      <c r="L8" s="13"/>
      <c r="M8" s="9">
        <v>62021</v>
      </c>
      <c r="N8" s="13">
        <v>746603.38399999996</v>
      </c>
      <c r="O8" s="13">
        <v>12037.91</v>
      </c>
      <c r="P8" s="3" t="s">
        <v>53</v>
      </c>
    </row>
    <row r="9" spans="1:16" ht="45">
      <c r="A9" s="8">
        <v>2018</v>
      </c>
      <c r="B9" s="8" t="s">
        <v>48</v>
      </c>
      <c r="C9" s="6">
        <v>1301209</v>
      </c>
      <c r="D9" s="12">
        <v>311111874.83999997</v>
      </c>
      <c r="E9" s="12">
        <v>287993197.93000001</v>
      </c>
      <c r="F9" s="12">
        <v>33314626.949999999</v>
      </c>
      <c r="G9" s="12">
        <v>255020877.34999999</v>
      </c>
      <c r="H9" s="12"/>
      <c r="I9" s="12"/>
      <c r="J9" s="12"/>
      <c r="K9" s="12"/>
      <c r="L9" s="12"/>
      <c r="M9" s="6">
        <v>84272</v>
      </c>
      <c r="N9" s="12">
        <v>2018615.3810000001</v>
      </c>
      <c r="O9" s="12">
        <v>23953.57</v>
      </c>
      <c r="P9" s="2" t="s">
        <v>54</v>
      </c>
    </row>
    <row r="10" spans="1:16" ht="45">
      <c r="A10" s="11">
        <v>2018</v>
      </c>
      <c r="B10" s="11" t="s">
        <v>50</v>
      </c>
      <c r="C10" s="9">
        <v>1304203</v>
      </c>
      <c r="D10" s="13">
        <v>167344666.56</v>
      </c>
      <c r="E10" s="13">
        <v>157381301.96000001</v>
      </c>
      <c r="F10" s="13">
        <v>16205747.83</v>
      </c>
      <c r="G10" s="13">
        <v>138883779.88999999</v>
      </c>
      <c r="H10" s="13"/>
      <c r="I10" s="13"/>
      <c r="J10" s="13"/>
      <c r="K10" s="13"/>
      <c r="L10" s="13"/>
      <c r="M10" s="9">
        <v>60154</v>
      </c>
      <c r="N10" s="13">
        <v>936724.06299999997</v>
      </c>
      <c r="O10" s="13">
        <v>15572.1</v>
      </c>
      <c r="P10" s="3" t="s">
        <v>55</v>
      </c>
    </row>
    <row r="11" spans="1:16" ht="45">
      <c r="A11" s="8">
        <v>2019</v>
      </c>
      <c r="B11" s="8" t="s">
        <v>48</v>
      </c>
      <c r="C11" s="6">
        <v>1301209</v>
      </c>
      <c r="D11" s="12">
        <v>371437706.94999999</v>
      </c>
      <c r="E11" s="12">
        <v>347186633.25</v>
      </c>
      <c r="F11" s="12">
        <v>33621667.630000003</v>
      </c>
      <c r="G11" s="12">
        <v>327896163.25999999</v>
      </c>
      <c r="H11" s="12"/>
      <c r="I11" s="12"/>
      <c r="J11" s="12"/>
      <c r="K11" s="12"/>
      <c r="L11" s="12"/>
      <c r="M11" s="6">
        <v>85097</v>
      </c>
      <c r="N11" s="12">
        <v>2253991.8229999999</v>
      </c>
      <c r="O11" s="12">
        <v>26487.32</v>
      </c>
      <c r="P11" s="2" t="s">
        <v>56</v>
      </c>
    </row>
    <row r="12" spans="1:16" ht="45">
      <c r="A12" s="11">
        <v>2019</v>
      </c>
      <c r="B12" s="11" t="s">
        <v>50</v>
      </c>
      <c r="C12" s="9">
        <v>1304203</v>
      </c>
      <c r="D12" s="13">
        <v>180063990.75999999</v>
      </c>
      <c r="E12" s="13">
        <v>164783861.74000001</v>
      </c>
      <c r="F12" s="13">
        <v>10696118.789999999</v>
      </c>
      <c r="G12" s="13">
        <v>161723561.59999999</v>
      </c>
      <c r="H12" s="13"/>
      <c r="I12" s="13"/>
      <c r="J12" s="13"/>
      <c r="K12" s="13"/>
      <c r="L12" s="13"/>
      <c r="M12" s="9">
        <v>59849</v>
      </c>
      <c r="N12" s="13">
        <v>1021258.2560000001</v>
      </c>
      <c r="O12" s="13">
        <v>17063.919999999998</v>
      </c>
      <c r="P12" s="3" t="s">
        <v>57</v>
      </c>
    </row>
    <row r="13" spans="1:16" ht="45">
      <c r="A13" s="8">
        <v>2020</v>
      </c>
      <c r="B13" s="8" t="s">
        <v>48</v>
      </c>
      <c r="C13" s="6">
        <v>1301209</v>
      </c>
      <c r="D13" s="12">
        <v>339209705.06999999</v>
      </c>
      <c r="E13" s="12">
        <v>341079125.47000003</v>
      </c>
      <c r="F13" s="12">
        <v>33355604.16</v>
      </c>
      <c r="G13" s="12">
        <v>277886942.35000002</v>
      </c>
      <c r="H13" s="12"/>
      <c r="I13" s="12"/>
      <c r="J13" s="12"/>
      <c r="K13" s="12"/>
      <c r="L13" s="12"/>
      <c r="M13" s="6">
        <v>85910</v>
      </c>
      <c r="N13" s="12">
        <v>1923264.781</v>
      </c>
      <c r="O13" s="12">
        <v>22386.97</v>
      </c>
      <c r="P13" s="2" t="s">
        <v>58</v>
      </c>
    </row>
    <row r="14" spans="1:16" ht="45">
      <c r="A14" s="11">
        <v>2020</v>
      </c>
      <c r="B14" s="11" t="s">
        <v>50</v>
      </c>
      <c r="C14" s="9">
        <v>1304203</v>
      </c>
      <c r="D14" s="13">
        <v>193880632.43000001</v>
      </c>
      <c r="E14" s="13">
        <v>182495589.80000001</v>
      </c>
      <c r="F14" s="13">
        <v>7506049.4900000002</v>
      </c>
      <c r="G14" s="13">
        <v>175704586.21000001</v>
      </c>
      <c r="H14" s="13"/>
      <c r="I14" s="13"/>
      <c r="J14" s="13"/>
      <c r="K14" s="13"/>
      <c r="L14" s="13"/>
      <c r="M14" s="9">
        <v>59547</v>
      </c>
      <c r="N14" s="13">
        <v>941045.63</v>
      </c>
      <c r="O14" s="13">
        <v>15803.41</v>
      </c>
      <c r="P14" s="3" t="s">
        <v>59</v>
      </c>
    </row>
    <row r="15" spans="1:16" ht="45">
      <c r="A15" s="8">
        <v>2021</v>
      </c>
      <c r="B15" s="8" t="s">
        <v>48</v>
      </c>
      <c r="C15" s="6">
        <v>1301209</v>
      </c>
      <c r="D15" s="12">
        <v>568597314.75999999</v>
      </c>
      <c r="E15" s="12">
        <v>541312008.12</v>
      </c>
      <c r="F15" s="12">
        <v>34610080.009999998</v>
      </c>
      <c r="G15" s="12">
        <v>359087460.04000002</v>
      </c>
      <c r="H15" s="12"/>
      <c r="I15" s="12"/>
      <c r="J15" s="12"/>
      <c r="K15" s="12"/>
      <c r="L15" s="12"/>
      <c r="M15" s="6">
        <v>86713</v>
      </c>
      <c r="N15" s="12">
        <v>3380325.284</v>
      </c>
      <c r="O15" s="12">
        <v>38982.910000000003</v>
      </c>
      <c r="P15" s="2" t="s">
        <v>60</v>
      </c>
    </row>
    <row r="16" spans="1:16" ht="45">
      <c r="A16" s="11">
        <v>2021</v>
      </c>
      <c r="B16" s="11" t="s">
        <v>50</v>
      </c>
      <c r="C16" s="9">
        <v>1304203</v>
      </c>
      <c r="D16" s="13">
        <v>235873617.69999999</v>
      </c>
      <c r="E16" s="13">
        <v>225558751.5</v>
      </c>
      <c r="F16" s="13">
        <v>13222394.810000001</v>
      </c>
      <c r="G16" s="13">
        <v>219246787.63999999</v>
      </c>
      <c r="H16" s="13"/>
      <c r="I16" s="13"/>
      <c r="J16" s="13"/>
      <c r="K16" s="13"/>
      <c r="L16" s="13"/>
      <c r="M16" s="9">
        <v>59250</v>
      </c>
      <c r="N16" s="13">
        <v>1098391.851</v>
      </c>
      <c r="O16" s="13">
        <v>18538.259999999998</v>
      </c>
      <c r="P16" s="3" t="s">
        <v>61</v>
      </c>
    </row>
    <row r="17" spans="1:16" ht="45">
      <c r="A17" s="8">
        <v>2022</v>
      </c>
      <c r="B17" s="8" t="s">
        <v>48</v>
      </c>
      <c r="C17" s="6">
        <v>1301209</v>
      </c>
      <c r="D17" s="12">
        <v>528694478.11000001</v>
      </c>
      <c r="E17" s="12">
        <v>565852108.75999999</v>
      </c>
      <c r="F17" s="12">
        <v>41532858.890000001</v>
      </c>
      <c r="G17" s="12">
        <v>459045564.98000002</v>
      </c>
      <c r="H17" s="12">
        <v>111683716.06</v>
      </c>
      <c r="I17" s="12">
        <v>46761975.369999997</v>
      </c>
      <c r="J17" s="12">
        <v>88298092.189999998</v>
      </c>
      <c r="K17" s="12">
        <v>72004923.5</v>
      </c>
      <c r="L17" s="12">
        <v>162726805.94999999</v>
      </c>
      <c r="M17" s="6">
        <v>70496.000269694603</v>
      </c>
      <c r="N17" s="12">
        <v>4861890.6009999998</v>
      </c>
      <c r="O17" s="12">
        <v>68966.899999999994</v>
      </c>
      <c r="P17" s="2" t="s">
        <v>62</v>
      </c>
    </row>
    <row r="18" spans="1:16" ht="45">
      <c r="A18" s="11">
        <v>2022</v>
      </c>
      <c r="B18" s="11" t="s">
        <v>50</v>
      </c>
      <c r="C18" s="9">
        <v>1304203</v>
      </c>
      <c r="D18" s="13">
        <v>317404752.97000003</v>
      </c>
      <c r="E18" s="13">
        <v>310365377.69999999</v>
      </c>
      <c r="F18" s="13">
        <v>13005599.16</v>
      </c>
      <c r="G18" s="13">
        <v>283766973.12</v>
      </c>
      <c r="H18" s="13">
        <v>95728899.420000002</v>
      </c>
      <c r="I18" s="13">
        <v>62342253.409999996</v>
      </c>
      <c r="J18" s="13">
        <v>34261917.350000001</v>
      </c>
      <c r="K18" s="13">
        <v>10909009.84</v>
      </c>
      <c r="L18" s="13">
        <v>8986858.5899999999</v>
      </c>
      <c r="M18" s="9">
        <v>73669.019253217237</v>
      </c>
      <c r="N18" s="13">
        <v>1386544.5020000001</v>
      </c>
      <c r="O18" s="13">
        <v>18821.27</v>
      </c>
      <c r="P18" s="3" t="s">
        <v>63</v>
      </c>
    </row>
    <row r="19" spans="1:16" ht="45">
      <c r="A19" s="8">
        <v>2023</v>
      </c>
      <c r="B19" s="8" t="s">
        <v>48</v>
      </c>
      <c r="C19" s="6">
        <v>1301209</v>
      </c>
      <c r="D19" s="12">
        <v>561439512.12</v>
      </c>
      <c r="E19" s="12">
        <v>499088743.88999999</v>
      </c>
      <c r="F19" s="12">
        <v>45851624.07</v>
      </c>
      <c r="G19" s="12">
        <v>405190728.73000002</v>
      </c>
      <c r="H19" s="12">
        <v>110324425.62</v>
      </c>
      <c r="I19" s="12">
        <v>49816546.590000004</v>
      </c>
      <c r="J19" s="12">
        <v>91643849.439999998</v>
      </c>
      <c r="K19" s="12">
        <v>81058741.819999993</v>
      </c>
      <c r="L19" s="12">
        <v>100048714.81</v>
      </c>
      <c r="M19" s="6">
        <v>70616.001121534107</v>
      </c>
      <c r="N19" s="12">
        <v>3893678.7379999999</v>
      </c>
      <c r="O19" s="12">
        <v>55138.76</v>
      </c>
      <c r="P19" s="2" t="s">
        <v>64</v>
      </c>
    </row>
    <row r="20" spans="1:16" ht="45">
      <c r="A20" s="11">
        <v>2023</v>
      </c>
      <c r="B20" s="11" t="s">
        <v>50</v>
      </c>
      <c r="C20" s="9">
        <v>1304203</v>
      </c>
      <c r="D20" s="13">
        <v>340091826.58999997</v>
      </c>
      <c r="E20" s="13">
        <v>330556300.30000001</v>
      </c>
      <c r="F20" s="13">
        <v>16745080.189999999</v>
      </c>
      <c r="G20" s="13">
        <v>309213096.67000002</v>
      </c>
      <c r="H20" s="13">
        <v>111364417.22</v>
      </c>
      <c r="I20" s="13">
        <v>69213121.849999994</v>
      </c>
      <c r="J20" s="13">
        <v>35563529.719999999</v>
      </c>
      <c r="K20" s="13">
        <v>12945099.800000001</v>
      </c>
      <c r="L20" s="13">
        <v>8095600.3600000003</v>
      </c>
      <c r="M20" s="9">
        <v>73668.990115403678</v>
      </c>
      <c r="N20" s="13">
        <v>1619516.9779999999</v>
      </c>
      <c r="O20" s="13">
        <v>21983.7</v>
      </c>
      <c r="P20" s="3" t="s">
        <v>65</v>
      </c>
    </row>
    <row r="21" spans="1:16" ht="45">
      <c r="A21" s="8">
        <v>2024</v>
      </c>
      <c r="B21" s="8" t="s">
        <v>48</v>
      </c>
      <c r="C21" s="6">
        <v>1301209</v>
      </c>
      <c r="D21" s="12">
        <v>677029883.78999996</v>
      </c>
      <c r="E21" s="12">
        <v>652666115.48000002</v>
      </c>
      <c r="F21" s="12">
        <v>52793162.030000001</v>
      </c>
      <c r="G21" s="12">
        <v>553907116.26999998</v>
      </c>
      <c r="H21" s="12">
        <v>253358239.02000001</v>
      </c>
      <c r="I21" s="12">
        <v>56935307.93</v>
      </c>
      <c r="J21" s="12">
        <v>99851511.260000005</v>
      </c>
      <c r="K21" s="12">
        <v>98935528.680000007</v>
      </c>
      <c r="L21" s="12">
        <v>14380417.65</v>
      </c>
      <c r="M21" s="6">
        <v>73820</v>
      </c>
      <c r="N21" s="12"/>
      <c r="O21" s="12"/>
      <c r="P21" s="2" t="s">
        <v>66</v>
      </c>
    </row>
    <row r="22" spans="1:16" ht="45">
      <c r="A22" s="11">
        <v>2024</v>
      </c>
      <c r="B22" s="11" t="s">
        <v>50</v>
      </c>
      <c r="C22" s="9">
        <v>1304203</v>
      </c>
      <c r="D22" s="13">
        <v>501471222.51999998</v>
      </c>
      <c r="E22" s="13">
        <v>483328344.75</v>
      </c>
      <c r="F22" s="13">
        <v>17205704.760000002</v>
      </c>
      <c r="G22" s="13">
        <v>464751644.48000002</v>
      </c>
      <c r="H22" s="13">
        <v>244223684.12</v>
      </c>
      <c r="I22" s="13">
        <v>85514697.459999993</v>
      </c>
      <c r="J22" s="13">
        <v>38744939.299999997</v>
      </c>
      <c r="K22" s="13">
        <v>14044135.039999999</v>
      </c>
      <c r="L22" s="13">
        <v>13098644.24</v>
      </c>
      <c r="M22" s="9">
        <v>79278</v>
      </c>
      <c r="N22" s="13"/>
      <c r="O22" s="13"/>
      <c r="P22" s="3" t="s">
        <v>67</v>
      </c>
    </row>
    <row r="23" spans="1:16" ht="45">
      <c r="A23" s="8">
        <v>2025</v>
      </c>
      <c r="B23" s="8" t="s">
        <v>48</v>
      </c>
      <c r="C23" s="6">
        <v>1301209</v>
      </c>
      <c r="D23" s="12">
        <v>731534482.05999994</v>
      </c>
      <c r="E23" s="12">
        <v>661033608.11000001</v>
      </c>
      <c r="F23" s="12">
        <v>60610963.43</v>
      </c>
      <c r="G23" s="12">
        <v>624562189.58000004</v>
      </c>
      <c r="H23" s="12">
        <v>284535362.27999997</v>
      </c>
      <c r="I23" s="12">
        <v>62567098.43</v>
      </c>
      <c r="J23" s="12">
        <v>108045109.15000001</v>
      </c>
      <c r="K23" s="12">
        <v>110287455.38</v>
      </c>
      <c r="L23" s="12">
        <v>92529438.920000002</v>
      </c>
      <c r="M23" s="6">
        <v>73576</v>
      </c>
      <c r="N23" s="12"/>
      <c r="O23" s="12"/>
      <c r="P23" s="2" t="s">
        <v>68</v>
      </c>
    </row>
    <row r="24" spans="1:16" ht="45">
      <c r="A24" s="11">
        <v>2025</v>
      </c>
      <c r="B24" s="11" t="s">
        <v>50</v>
      </c>
      <c r="C24" s="9">
        <v>1304203</v>
      </c>
      <c r="D24" s="13">
        <v>704132066.38999999</v>
      </c>
      <c r="E24" s="13">
        <v>566535919.09000003</v>
      </c>
      <c r="F24" s="13">
        <v>18399415.989999998</v>
      </c>
      <c r="G24" s="13">
        <v>593671539.87</v>
      </c>
      <c r="H24" s="13">
        <v>274672201.92000002</v>
      </c>
      <c r="I24" s="13">
        <v>100046150.61</v>
      </c>
      <c r="J24" s="13">
        <v>41924264.82</v>
      </c>
      <c r="K24" s="13">
        <v>13976217.84</v>
      </c>
      <c r="L24" s="13">
        <v>13869508.51</v>
      </c>
      <c r="M24" s="9">
        <v>80137</v>
      </c>
      <c r="N24" s="13"/>
      <c r="O24" s="13"/>
      <c r="P24" s="3" t="s">
        <v>69</v>
      </c>
    </row>
  </sheetData>
  <autoFilter ref="A4:P24" xr:uid="{00000000-0009-0000-0000-000002000000}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AE24"/>
  <sheetViews>
    <sheetView showGridLines="0" workbookViewId="0">
      <pane ySplit="4" topLeftCell="A15" activePane="bottomLeft" state="frozen"/>
      <selection pane="bottomLeft" activeCell="A14" sqref="A14"/>
    </sheetView>
  </sheetViews>
  <sheetFormatPr defaultRowHeight="15"/>
  <cols>
    <col min="1" max="2" width="12" customWidth="1"/>
    <col min="3" max="3" width="28" customWidth="1"/>
    <col min="4" max="4" width="32" customWidth="1"/>
    <col min="5" max="5" width="33" customWidth="1"/>
    <col min="6" max="6" width="20" customWidth="1"/>
    <col min="7" max="7" width="18" customWidth="1"/>
    <col min="8" max="8" width="19" customWidth="1"/>
    <col min="9" max="9" width="36" customWidth="1"/>
    <col min="10" max="10" width="21" customWidth="1"/>
    <col min="11" max="11" width="36" customWidth="1"/>
    <col min="12" max="12" width="21" customWidth="1"/>
    <col min="13" max="13" width="22" customWidth="1"/>
    <col min="14" max="14" width="29" customWidth="1"/>
    <col min="15" max="15" width="33" customWidth="1"/>
    <col min="16" max="17" width="36" customWidth="1"/>
    <col min="18" max="18" width="25" customWidth="1"/>
    <col min="19" max="19" width="23" customWidth="1"/>
    <col min="20" max="20" width="24" customWidth="1"/>
    <col min="21" max="21" width="36" customWidth="1"/>
    <col min="22" max="22" width="26" customWidth="1"/>
    <col min="23" max="23" width="36" customWidth="1"/>
    <col min="24" max="24" width="34" customWidth="1"/>
    <col min="25" max="26" width="36" customWidth="1"/>
    <col min="27" max="27" width="27" customWidth="1"/>
    <col min="28" max="28" width="26" customWidth="1"/>
    <col min="29" max="29" width="35" customWidth="1"/>
    <col min="30" max="31" width="36" customWidth="1"/>
  </cols>
  <sheetData>
    <row r="1" spans="1:31" ht="27.95" customHeight="1">
      <c r="A1" s="16" t="s">
        <v>70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42" customHeight="1">
      <c r="A2" s="15" t="s">
        <v>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4" spans="1:31" ht="38.1" customHeight="1">
      <c r="A4" s="5" t="s">
        <v>27</v>
      </c>
      <c r="B4" s="5" t="s">
        <v>33</v>
      </c>
      <c r="C4" s="5" t="s">
        <v>35</v>
      </c>
      <c r="D4" s="5" t="s">
        <v>36</v>
      </c>
      <c r="E4" s="5" t="s">
        <v>37</v>
      </c>
      <c r="F4" s="5" t="s">
        <v>42</v>
      </c>
      <c r="G4" s="5" t="s">
        <v>39</v>
      </c>
      <c r="H4" s="5" t="s">
        <v>41</v>
      </c>
      <c r="I4" s="5" t="s">
        <v>38</v>
      </c>
      <c r="J4" s="5" t="s">
        <v>40</v>
      </c>
      <c r="K4" s="5" t="s">
        <v>43</v>
      </c>
      <c r="L4" s="5" t="s">
        <v>44</v>
      </c>
      <c r="M4" s="5" t="s">
        <v>45</v>
      </c>
      <c r="N4" s="5" t="s">
        <v>46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  <c r="V4" s="5" t="s">
        <v>79</v>
      </c>
      <c r="W4" s="5" t="s">
        <v>80</v>
      </c>
      <c r="X4" s="5" t="s">
        <v>81</v>
      </c>
      <c r="Y4" s="5" t="s">
        <v>82</v>
      </c>
      <c r="Z4" s="5" t="s">
        <v>83</v>
      </c>
      <c r="AA4" s="5" t="s">
        <v>84</v>
      </c>
      <c r="AB4" s="5" t="s">
        <v>85</v>
      </c>
      <c r="AC4" s="5" t="s">
        <v>86</v>
      </c>
      <c r="AD4" s="5" t="s">
        <v>87</v>
      </c>
      <c r="AE4" s="5" t="s">
        <v>88</v>
      </c>
    </row>
    <row r="5" spans="1:31">
      <c r="A5" s="8">
        <v>2016</v>
      </c>
      <c r="B5" s="8" t="s">
        <v>48</v>
      </c>
      <c r="C5" s="12">
        <v>205621300.99000001</v>
      </c>
      <c r="D5" s="12">
        <v>215752823.53</v>
      </c>
      <c r="E5" s="12">
        <v>4226149.37</v>
      </c>
      <c r="F5" s="12"/>
      <c r="G5" s="12"/>
      <c r="H5" s="12"/>
      <c r="I5" s="12">
        <v>194389126.63999999</v>
      </c>
      <c r="J5" s="12"/>
      <c r="K5" s="12"/>
      <c r="L5" s="6">
        <v>83929</v>
      </c>
      <c r="M5" s="12">
        <v>1170225.2949999999</v>
      </c>
      <c r="N5" s="12">
        <v>13943.04</v>
      </c>
      <c r="O5" s="12">
        <v>318752552.58144492</v>
      </c>
      <c r="P5" s="12">
        <v>334458360.56735247</v>
      </c>
      <c r="Q5" s="12">
        <v>6551344.1107129203</v>
      </c>
      <c r="R5" s="12"/>
      <c r="S5" s="12"/>
      <c r="T5" s="12"/>
      <c r="U5" s="12">
        <v>301340522.66107953</v>
      </c>
      <c r="V5" s="12"/>
      <c r="W5" s="12"/>
      <c r="X5" s="12">
        <v>21614.392912343908</v>
      </c>
      <c r="Y5" s="12">
        <v>3797.883360714949</v>
      </c>
      <c r="Z5" s="12">
        <v>3985.015436468354</v>
      </c>
      <c r="AA5" s="12">
        <v>1814074.2135211229</v>
      </c>
      <c r="AB5" s="7">
        <v>2.0553071834739201</v>
      </c>
      <c r="AC5" s="7">
        <v>94.537446122594929</v>
      </c>
      <c r="AD5" s="12">
        <v>-10131522.53999999</v>
      </c>
      <c r="AE5" s="12">
        <v>-15705807.985907551</v>
      </c>
    </row>
    <row r="6" spans="1:31">
      <c r="A6" s="11">
        <v>2016</v>
      </c>
      <c r="B6" s="11" t="s">
        <v>50</v>
      </c>
      <c r="C6" s="13">
        <v>127255808.22</v>
      </c>
      <c r="D6" s="13">
        <v>116087026.94</v>
      </c>
      <c r="E6" s="13">
        <v>4816870.2699999996</v>
      </c>
      <c r="F6" s="13"/>
      <c r="G6" s="13"/>
      <c r="H6" s="13"/>
      <c r="I6" s="13">
        <v>115139934.31</v>
      </c>
      <c r="J6" s="13"/>
      <c r="K6" s="13"/>
      <c r="L6" s="9">
        <v>62230</v>
      </c>
      <c r="M6" s="13">
        <v>657169.84900000005</v>
      </c>
      <c r="N6" s="13">
        <v>10560.34</v>
      </c>
      <c r="O6" s="13">
        <v>197270970.98229399</v>
      </c>
      <c r="P6" s="13">
        <v>179957212.50939631</v>
      </c>
      <c r="Q6" s="13">
        <v>7467075.0871809945</v>
      </c>
      <c r="R6" s="13"/>
      <c r="S6" s="13"/>
      <c r="T6" s="13"/>
      <c r="U6" s="13">
        <v>178489036.8296876</v>
      </c>
      <c r="V6" s="13"/>
      <c r="W6" s="13"/>
      <c r="X6" s="13">
        <v>16370.557500225341</v>
      </c>
      <c r="Y6" s="13">
        <v>3170.0300656000959</v>
      </c>
      <c r="Z6" s="13">
        <v>2891.8080107568089</v>
      </c>
      <c r="AA6" s="13">
        <v>1018739.6239580259</v>
      </c>
      <c r="AB6" s="10">
        <v>3.7851869689692972</v>
      </c>
      <c r="AC6" s="10">
        <v>90.479119122756217</v>
      </c>
      <c r="AD6" s="13">
        <v>11168781.279999999</v>
      </c>
      <c r="AE6" s="13">
        <v>17313758.472897708</v>
      </c>
    </row>
    <row r="7" spans="1:31">
      <c r="A7" s="8">
        <v>2017</v>
      </c>
      <c r="B7" s="8" t="s">
        <v>48</v>
      </c>
      <c r="C7" s="12">
        <v>252725423.16999999</v>
      </c>
      <c r="D7" s="12">
        <v>223233639.5</v>
      </c>
      <c r="E7" s="12">
        <v>27661327.57</v>
      </c>
      <c r="F7" s="12"/>
      <c r="G7" s="12"/>
      <c r="H7" s="12"/>
      <c r="I7" s="12">
        <v>216391216.03</v>
      </c>
      <c r="J7" s="12"/>
      <c r="K7" s="12"/>
      <c r="L7" s="6">
        <v>84762</v>
      </c>
      <c r="M7" s="12">
        <v>1322937.213</v>
      </c>
      <c r="N7" s="12">
        <v>15607.67</v>
      </c>
      <c r="O7" s="12">
        <v>380556662.51024163</v>
      </c>
      <c r="P7" s="12">
        <v>336147617.21455038</v>
      </c>
      <c r="Q7" s="12">
        <v>41652724.797539532</v>
      </c>
      <c r="R7" s="12"/>
      <c r="S7" s="12"/>
      <c r="T7" s="12"/>
      <c r="U7" s="12">
        <v>325844222.30254197</v>
      </c>
      <c r="V7" s="12"/>
      <c r="W7" s="12"/>
      <c r="X7" s="12">
        <v>23502.197484761349</v>
      </c>
      <c r="Y7" s="12">
        <v>4489.708389493424</v>
      </c>
      <c r="Z7" s="12">
        <v>3965.7820392929671</v>
      </c>
      <c r="AA7" s="12">
        <v>1992093.0952452091</v>
      </c>
      <c r="AB7" s="7">
        <v>10.945209715364941</v>
      </c>
      <c r="AC7" s="7">
        <v>85.62305023204604</v>
      </c>
      <c r="AD7" s="12">
        <v>29491783.669999991</v>
      </c>
      <c r="AE7" s="12">
        <v>44409045.295691133</v>
      </c>
    </row>
    <row r="8" spans="1:31">
      <c r="A8" s="11">
        <v>2017</v>
      </c>
      <c r="B8" s="11" t="s">
        <v>50</v>
      </c>
      <c r="C8" s="13">
        <v>142248580.09999999</v>
      </c>
      <c r="D8" s="13">
        <v>134280505.25</v>
      </c>
      <c r="E8" s="13">
        <v>7778445.2699999996</v>
      </c>
      <c r="F8" s="13"/>
      <c r="G8" s="13"/>
      <c r="H8" s="13"/>
      <c r="I8" s="13">
        <v>130061533.19</v>
      </c>
      <c r="J8" s="13"/>
      <c r="K8" s="13"/>
      <c r="L8" s="9">
        <v>62021</v>
      </c>
      <c r="M8" s="13">
        <v>746603.38399999996</v>
      </c>
      <c r="N8" s="13">
        <v>12037.91</v>
      </c>
      <c r="O8" s="13">
        <v>214199443.0582588</v>
      </c>
      <c r="P8" s="13">
        <v>202201030.1818935</v>
      </c>
      <c r="Q8" s="13">
        <v>11712866.6136552</v>
      </c>
      <c r="R8" s="13"/>
      <c r="S8" s="13"/>
      <c r="T8" s="13"/>
      <c r="U8" s="13">
        <v>195848056.64152449</v>
      </c>
      <c r="V8" s="13"/>
      <c r="W8" s="13"/>
      <c r="X8" s="13">
        <v>18126.814452367551</v>
      </c>
      <c r="Y8" s="13">
        <v>3453.6599387023548</v>
      </c>
      <c r="Z8" s="13">
        <v>3260.202676220852</v>
      </c>
      <c r="AA8" s="13">
        <v>1124243.411960857</v>
      </c>
      <c r="AB8" s="10">
        <v>5.4682059142747113</v>
      </c>
      <c r="AC8" s="10">
        <v>91.432570433087932</v>
      </c>
      <c r="AD8" s="13">
        <v>7968074.849999994</v>
      </c>
      <c r="AE8" s="13">
        <v>11998412.87636527</v>
      </c>
    </row>
    <row r="9" spans="1:31">
      <c r="A9" s="8">
        <v>2018</v>
      </c>
      <c r="B9" s="8" t="s">
        <v>48</v>
      </c>
      <c r="C9" s="12">
        <v>311111874.83999997</v>
      </c>
      <c r="D9" s="12">
        <v>287993197.93000001</v>
      </c>
      <c r="E9" s="12">
        <v>33314626.949999999</v>
      </c>
      <c r="F9" s="12"/>
      <c r="G9" s="12"/>
      <c r="H9" s="12"/>
      <c r="I9" s="12">
        <v>255020877.34999999</v>
      </c>
      <c r="J9" s="12"/>
      <c r="K9" s="12"/>
      <c r="L9" s="6">
        <v>84272</v>
      </c>
      <c r="M9" s="12">
        <v>2018615.3810000001</v>
      </c>
      <c r="N9" s="12">
        <v>23953.57</v>
      </c>
      <c r="O9" s="12">
        <v>451562420.18167341</v>
      </c>
      <c r="P9" s="12">
        <v>418006884.24384832</v>
      </c>
      <c r="Q9" s="12">
        <v>48354417.78211876</v>
      </c>
      <c r="R9" s="12"/>
      <c r="S9" s="12"/>
      <c r="T9" s="12"/>
      <c r="U9" s="12">
        <v>370149306.04061192</v>
      </c>
      <c r="V9" s="12"/>
      <c r="W9" s="12"/>
      <c r="X9" s="12">
        <v>34767.339069760361</v>
      </c>
      <c r="Y9" s="12">
        <v>5358.3921134145794</v>
      </c>
      <c r="Z9" s="12">
        <v>4960.2107965142432</v>
      </c>
      <c r="AA9" s="12">
        <v>2929913.3867169069</v>
      </c>
      <c r="AB9" s="7">
        <v>10.70824666115146</v>
      </c>
      <c r="AC9" s="7">
        <v>81.970795065650677</v>
      </c>
      <c r="AD9" s="12">
        <v>23118676.90999997</v>
      </c>
      <c r="AE9" s="12">
        <v>33555535.937825076</v>
      </c>
    </row>
    <row r="10" spans="1:31">
      <c r="A10" s="11">
        <v>2018</v>
      </c>
      <c r="B10" s="11" t="s">
        <v>50</v>
      </c>
      <c r="C10" s="13">
        <v>167344666.56</v>
      </c>
      <c r="D10" s="13">
        <v>157381301.96000001</v>
      </c>
      <c r="E10" s="13">
        <v>16205747.83</v>
      </c>
      <c r="F10" s="13"/>
      <c r="G10" s="13"/>
      <c r="H10" s="13"/>
      <c r="I10" s="13">
        <v>138883779.88999999</v>
      </c>
      <c r="J10" s="13"/>
      <c r="K10" s="13"/>
      <c r="L10" s="9">
        <v>60154</v>
      </c>
      <c r="M10" s="13">
        <v>936724.06299999997</v>
      </c>
      <c r="N10" s="13">
        <v>15572.1</v>
      </c>
      <c r="O10" s="13">
        <v>242891926.4981173</v>
      </c>
      <c r="P10" s="13">
        <v>228430630.10998619</v>
      </c>
      <c r="Q10" s="13">
        <v>23521785.257255729</v>
      </c>
      <c r="R10" s="13"/>
      <c r="S10" s="13"/>
      <c r="T10" s="13"/>
      <c r="U10" s="13">
        <v>201582455.83959281</v>
      </c>
      <c r="V10" s="13"/>
      <c r="W10" s="13"/>
      <c r="X10" s="13">
        <v>22602.078968947651</v>
      </c>
      <c r="Y10" s="13">
        <v>4037.8349984725428</v>
      </c>
      <c r="Z10" s="13">
        <v>3797.430430395088</v>
      </c>
      <c r="AA10" s="13">
        <v>1359605.399659615</v>
      </c>
      <c r="AB10" s="10">
        <v>9.6840539726371073</v>
      </c>
      <c r="AC10" s="10">
        <v>82.992653871167377</v>
      </c>
      <c r="AD10" s="13">
        <v>9963364.599999994</v>
      </c>
      <c r="AE10" s="13">
        <v>14461296.38813117</v>
      </c>
    </row>
    <row r="11" spans="1:31">
      <c r="A11" s="8">
        <v>2019</v>
      </c>
      <c r="B11" s="8" t="s">
        <v>48</v>
      </c>
      <c r="C11" s="12">
        <v>371437706.94999999</v>
      </c>
      <c r="D11" s="12">
        <v>347186633.25</v>
      </c>
      <c r="E11" s="12">
        <v>33621667.630000003</v>
      </c>
      <c r="F11" s="12"/>
      <c r="G11" s="12"/>
      <c r="H11" s="12"/>
      <c r="I11" s="12">
        <v>327896163.25999999</v>
      </c>
      <c r="J11" s="12"/>
      <c r="K11" s="12"/>
      <c r="L11" s="6">
        <v>85097</v>
      </c>
      <c r="M11" s="12">
        <v>2253991.8229999999</v>
      </c>
      <c r="N11" s="12">
        <v>26487.32</v>
      </c>
      <c r="O11" s="12">
        <v>516865727.73698831</v>
      </c>
      <c r="P11" s="12">
        <v>483119695.43650049</v>
      </c>
      <c r="Q11" s="12">
        <v>46785470.032126732</v>
      </c>
      <c r="R11" s="12"/>
      <c r="S11" s="12"/>
      <c r="T11" s="12"/>
      <c r="U11" s="12">
        <v>456276478.86691278</v>
      </c>
      <c r="V11" s="12"/>
      <c r="W11" s="12"/>
      <c r="X11" s="12">
        <v>36857.830186436557</v>
      </c>
      <c r="Y11" s="12">
        <v>6073.8419419837164</v>
      </c>
      <c r="Z11" s="12">
        <v>5677.2823417570598</v>
      </c>
      <c r="AA11" s="12">
        <v>3136491.2665286851</v>
      </c>
      <c r="AB11" s="7">
        <v>9.051764804946389</v>
      </c>
      <c r="AC11" s="7">
        <v>88.277565019573743</v>
      </c>
      <c r="AD11" s="12">
        <v>24251073.699999992</v>
      </c>
      <c r="AE11" s="12">
        <v>33746032.300487816</v>
      </c>
    </row>
    <row r="12" spans="1:31">
      <c r="A12" s="11">
        <v>2019</v>
      </c>
      <c r="B12" s="11" t="s">
        <v>50</v>
      </c>
      <c r="C12" s="13">
        <v>180063990.75999999</v>
      </c>
      <c r="D12" s="13">
        <v>164783861.74000001</v>
      </c>
      <c r="E12" s="13">
        <v>10696118.789999999</v>
      </c>
      <c r="F12" s="13"/>
      <c r="G12" s="13"/>
      <c r="H12" s="13"/>
      <c r="I12" s="13">
        <v>161723561.59999999</v>
      </c>
      <c r="J12" s="13"/>
      <c r="K12" s="13"/>
      <c r="L12" s="9">
        <v>59849</v>
      </c>
      <c r="M12" s="13">
        <v>1021258.2560000001</v>
      </c>
      <c r="N12" s="13">
        <v>17063.919999999998</v>
      </c>
      <c r="O12" s="13">
        <v>250563967.7447232</v>
      </c>
      <c r="P12" s="13">
        <v>229301250.3144207</v>
      </c>
      <c r="Q12" s="13">
        <v>14883941.826344579</v>
      </c>
      <c r="R12" s="13"/>
      <c r="S12" s="13"/>
      <c r="T12" s="13"/>
      <c r="U12" s="13">
        <v>225042758.97291651</v>
      </c>
      <c r="V12" s="13"/>
      <c r="W12" s="13"/>
      <c r="X12" s="13">
        <v>23744.911364190051</v>
      </c>
      <c r="Y12" s="13">
        <v>4186.6024118151208</v>
      </c>
      <c r="Z12" s="13">
        <v>3831.3296849474618</v>
      </c>
      <c r="AA12" s="13">
        <v>1421108.793798103</v>
      </c>
      <c r="AB12" s="10">
        <v>5.9401764588547987</v>
      </c>
      <c r="AC12" s="10">
        <v>89.814493679391347</v>
      </c>
      <c r="AD12" s="13">
        <v>15280129.019999981</v>
      </c>
      <c r="AE12" s="13">
        <v>21262717.430302501</v>
      </c>
    </row>
    <row r="13" spans="1:31">
      <c r="A13" s="8">
        <v>2020</v>
      </c>
      <c r="B13" s="8" t="s">
        <v>48</v>
      </c>
      <c r="C13" s="12">
        <v>339209705.06999999</v>
      </c>
      <c r="D13" s="12">
        <v>341079125.47000003</v>
      </c>
      <c r="E13" s="12">
        <v>33355604.16</v>
      </c>
      <c r="F13" s="12"/>
      <c r="G13" s="12"/>
      <c r="H13" s="12"/>
      <c r="I13" s="12">
        <v>277886942.35000002</v>
      </c>
      <c r="J13" s="12"/>
      <c r="K13" s="12"/>
      <c r="L13" s="6">
        <v>85910</v>
      </c>
      <c r="M13" s="12">
        <v>1923264.781</v>
      </c>
      <c r="N13" s="12">
        <v>22386.97</v>
      </c>
      <c r="O13" s="12">
        <v>451618434.73534662</v>
      </c>
      <c r="P13" s="12">
        <v>454107351.48003739</v>
      </c>
      <c r="Q13" s="12">
        <v>44409123.663730018</v>
      </c>
      <c r="R13" s="12"/>
      <c r="S13" s="12"/>
      <c r="T13" s="12"/>
      <c r="U13" s="12">
        <v>369974278.62979418</v>
      </c>
      <c r="V13" s="12"/>
      <c r="W13" s="12"/>
      <c r="X13" s="12">
        <v>29805.65767651243</v>
      </c>
      <c r="Y13" s="12">
        <v>5256.8785325962826</v>
      </c>
      <c r="Z13" s="12">
        <v>5285.8497436856869</v>
      </c>
      <c r="AA13" s="12">
        <v>2560604.3016888238</v>
      </c>
      <c r="AB13" s="7">
        <v>9.8333283692801974</v>
      </c>
      <c r="AC13" s="7">
        <v>81.921872575153685</v>
      </c>
      <c r="AD13" s="12">
        <v>-1869420.400000036</v>
      </c>
      <c r="AE13" s="12">
        <v>-2488916.7446907759</v>
      </c>
    </row>
    <row r="14" spans="1:31">
      <c r="A14" s="11">
        <v>2020</v>
      </c>
      <c r="B14" s="11" t="s">
        <v>50</v>
      </c>
      <c r="C14" s="13">
        <v>193880632.43000001</v>
      </c>
      <c r="D14" s="13">
        <v>182495589.80000001</v>
      </c>
      <c r="E14" s="13">
        <v>7506049.4900000002</v>
      </c>
      <c r="F14" s="13"/>
      <c r="G14" s="13"/>
      <c r="H14" s="13"/>
      <c r="I14" s="13">
        <v>175704586.21000001</v>
      </c>
      <c r="J14" s="13"/>
      <c r="K14" s="13"/>
      <c r="L14" s="9">
        <v>59547</v>
      </c>
      <c r="M14" s="13">
        <v>941045.63</v>
      </c>
      <c r="N14" s="13">
        <v>15803.41</v>
      </c>
      <c r="O14" s="13">
        <v>258129606.65576071</v>
      </c>
      <c r="P14" s="13">
        <v>242971741.01953211</v>
      </c>
      <c r="Q14" s="13">
        <v>9993435.538704019</v>
      </c>
      <c r="R14" s="13"/>
      <c r="S14" s="13"/>
      <c r="T14" s="13"/>
      <c r="U14" s="13">
        <v>233930306.27943519</v>
      </c>
      <c r="V14" s="13"/>
      <c r="W14" s="13"/>
      <c r="X14" s="13">
        <v>21040.410050202121</v>
      </c>
      <c r="Y14" s="13">
        <v>4334.88851924968</v>
      </c>
      <c r="Z14" s="13">
        <v>4080.3355503977041</v>
      </c>
      <c r="AA14" s="13">
        <v>1252893.2636153069</v>
      </c>
      <c r="AB14" s="10">
        <v>3.8714797841966169</v>
      </c>
      <c r="AC14" s="10">
        <v>90.625135686741473</v>
      </c>
      <c r="AD14" s="13">
        <v>11385042.630000001</v>
      </c>
      <c r="AE14" s="13">
        <v>15157865.636228619</v>
      </c>
    </row>
    <row r="15" spans="1:31">
      <c r="A15" s="8">
        <v>2021</v>
      </c>
      <c r="B15" s="8" t="s">
        <v>48</v>
      </c>
      <c r="C15" s="12">
        <v>568597314.75999999</v>
      </c>
      <c r="D15" s="12">
        <v>541312008.12</v>
      </c>
      <c r="E15" s="12">
        <v>34610080.009999998</v>
      </c>
      <c r="F15" s="12"/>
      <c r="G15" s="12"/>
      <c r="H15" s="12"/>
      <c r="I15" s="12">
        <v>359087460.04000002</v>
      </c>
      <c r="J15" s="12"/>
      <c r="K15" s="12"/>
      <c r="L15" s="6">
        <v>86713</v>
      </c>
      <c r="M15" s="12">
        <v>3380325.284</v>
      </c>
      <c r="N15" s="12">
        <v>38982.910000000003</v>
      </c>
      <c r="O15" s="12">
        <v>687819565.14751041</v>
      </c>
      <c r="P15" s="12">
        <v>654813134.6546706</v>
      </c>
      <c r="Q15" s="12">
        <v>41867046.439089909</v>
      </c>
      <c r="R15" s="12"/>
      <c r="S15" s="12"/>
      <c r="T15" s="12"/>
      <c r="U15" s="12">
        <v>434380138.98973137</v>
      </c>
      <c r="V15" s="12"/>
      <c r="W15" s="12"/>
      <c r="X15" s="12">
        <v>47156.761926851803</v>
      </c>
      <c r="Y15" s="12">
        <v>7932.1389543379937</v>
      </c>
      <c r="Z15" s="12">
        <v>7551.4990215385315</v>
      </c>
      <c r="AA15" s="12">
        <v>4089104.5499914112</v>
      </c>
      <c r="AB15" s="7">
        <v>6.0869228734589811</v>
      </c>
      <c r="AC15" s="7">
        <v>63.153210667476984</v>
      </c>
      <c r="AD15" s="12">
        <v>27285306.639999989</v>
      </c>
      <c r="AE15" s="12">
        <v>33006430.49283981</v>
      </c>
    </row>
    <row r="16" spans="1:31">
      <c r="A16" s="11">
        <v>2021</v>
      </c>
      <c r="B16" s="11" t="s">
        <v>50</v>
      </c>
      <c r="C16" s="13">
        <v>235873617.69999999</v>
      </c>
      <c r="D16" s="13">
        <v>225558751.5</v>
      </c>
      <c r="E16" s="13">
        <v>13222394.810000001</v>
      </c>
      <c r="F16" s="13"/>
      <c r="G16" s="13"/>
      <c r="H16" s="13"/>
      <c r="I16" s="13">
        <v>219246787.63999999</v>
      </c>
      <c r="J16" s="13"/>
      <c r="K16" s="13"/>
      <c r="L16" s="9">
        <v>59250</v>
      </c>
      <c r="M16" s="13">
        <v>1098391.851</v>
      </c>
      <c r="N16" s="13">
        <v>18538.259999999998</v>
      </c>
      <c r="O16" s="13">
        <v>285331085.71689892</v>
      </c>
      <c r="P16" s="13">
        <v>272853420.76831681</v>
      </c>
      <c r="Q16" s="13">
        <v>15994837.844532659</v>
      </c>
      <c r="R16" s="13"/>
      <c r="S16" s="13"/>
      <c r="T16" s="13"/>
      <c r="U16" s="13">
        <v>265217978.03105289</v>
      </c>
      <c r="V16" s="13"/>
      <c r="W16" s="13"/>
      <c r="X16" s="13">
        <v>22425.322105457992</v>
      </c>
      <c r="Y16" s="13">
        <v>4815.7145268674922</v>
      </c>
      <c r="Z16" s="13">
        <v>4605.1210256255999</v>
      </c>
      <c r="AA16" s="13">
        <v>1328700.269425784</v>
      </c>
      <c r="AB16" s="10">
        <v>5.6057116259679098</v>
      </c>
      <c r="AC16" s="10">
        <v>92.950958135069129</v>
      </c>
      <c r="AD16" s="13">
        <v>10314866.19999999</v>
      </c>
      <c r="AE16" s="13">
        <v>12477664.948582111</v>
      </c>
    </row>
    <row r="17" spans="1:31">
      <c r="A17" s="8">
        <v>2022</v>
      </c>
      <c r="B17" s="8" t="s">
        <v>48</v>
      </c>
      <c r="C17" s="12">
        <v>528694478.11000001</v>
      </c>
      <c r="D17" s="12">
        <v>565852108.75999999</v>
      </c>
      <c r="E17" s="12">
        <v>41532858.890000001</v>
      </c>
      <c r="F17" s="12">
        <v>72004923.5</v>
      </c>
      <c r="G17" s="12">
        <v>111683716.06</v>
      </c>
      <c r="H17" s="12">
        <v>88298092.189999998</v>
      </c>
      <c r="I17" s="12">
        <v>459045564.98000002</v>
      </c>
      <c r="J17" s="12">
        <v>46761975.369999997</v>
      </c>
      <c r="K17" s="12">
        <v>162726805.94999999</v>
      </c>
      <c r="L17" s="6">
        <v>70496.000269694603</v>
      </c>
      <c r="M17" s="12">
        <v>4861890.6009999998</v>
      </c>
      <c r="N17" s="12">
        <v>68966.899999999994</v>
      </c>
      <c r="O17" s="12">
        <v>604576210.07014072</v>
      </c>
      <c r="P17" s="12">
        <v>647066949.88999009</v>
      </c>
      <c r="Q17" s="12">
        <v>47493929.785038948</v>
      </c>
      <c r="R17" s="12">
        <v>82339546.862002701</v>
      </c>
      <c r="S17" s="12">
        <v>127713302.4416723</v>
      </c>
      <c r="T17" s="12">
        <v>100971218.99871109</v>
      </c>
      <c r="U17" s="12">
        <v>524930823.78547662</v>
      </c>
      <c r="V17" s="12">
        <v>53473563.68398796</v>
      </c>
      <c r="W17" s="12">
        <v>186082434.54663271</v>
      </c>
      <c r="X17" s="12">
        <v>78865.486114669009</v>
      </c>
      <c r="Y17" s="12">
        <v>8576.0356297836788</v>
      </c>
      <c r="Z17" s="12">
        <v>9178.7753548360743</v>
      </c>
      <c r="AA17" s="12">
        <v>5559701.3304093014</v>
      </c>
      <c r="AB17" s="7">
        <v>7.855739110132844</v>
      </c>
      <c r="AC17" s="7">
        <v>86.826245399992828</v>
      </c>
      <c r="AD17" s="12">
        <v>-37157630.649999984</v>
      </c>
      <c r="AE17" s="12">
        <v>-42490739.819849372</v>
      </c>
    </row>
    <row r="18" spans="1:31">
      <c r="A18" s="11">
        <v>2022</v>
      </c>
      <c r="B18" s="11" t="s">
        <v>50</v>
      </c>
      <c r="C18" s="13">
        <v>317404752.97000003</v>
      </c>
      <c r="D18" s="13">
        <v>310365377.69999999</v>
      </c>
      <c r="E18" s="13">
        <v>13005599.16</v>
      </c>
      <c r="F18" s="13">
        <v>10909009.84</v>
      </c>
      <c r="G18" s="13">
        <v>95728899.420000002</v>
      </c>
      <c r="H18" s="13">
        <v>34261917.350000001</v>
      </c>
      <c r="I18" s="13">
        <v>283766973.12</v>
      </c>
      <c r="J18" s="13">
        <v>62342253.409999996</v>
      </c>
      <c r="K18" s="13">
        <v>8986858.5899999999</v>
      </c>
      <c r="L18" s="9">
        <v>73669.019253217237</v>
      </c>
      <c r="M18" s="13">
        <v>1386544.5020000001</v>
      </c>
      <c r="N18" s="13">
        <v>18821.27</v>
      </c>
      <c r="O18" s="13">
        <v>362960784.63850749</v>
      </c>
      <c r="P18" s="13">
        <v>354911071.62237757</v>
      </c>
      <c r="Q18" s="13">
        <v>14872248.860916341</v>
      </c>
      <c r="R18" s="13">
        <v>12474743.1602886</v>
      </c>
      <c r="S18" s="13">
        <v>109468544.88139319</v>
      </c>
      <c r="T18" s="13">
        <v>39179414.574649043</v>
      </c>
      <c r="U18" s="13">
        <v>324495087.91024411</v>
      </c>
      <c r="V18" s="13">
        <v>71290026.38459219</v>
      </c>
      <c r="W18" s="13">
        <v>10276712.036413681</v>
      </c>
      <c r="X18" s="13">
        <v>21522.623285161961</v>
      </c>
      <c r="Y18" s="13">
        <v>4926.9121310130176</v>
      </c>
      <c r="Z18" s="13">
        <v>4817.6434981775337</v>
      </c>
      <c r="AA18" s="13">
        <v>1585550.5491743381</v>
      </c>
      <c r="AB18" s="10">
        <v>4.0974809098807814</v>
      </c>
      <c r="AC18" s="10">
        <v>89.402244441758768</v>
      </c>
      <c r="AD18" s="13">
        <v>7039375.2700000415</v>
      </c>
      <c r="AE18" s="13">
        <v>8049713.0161299706</v>
      </c>
    </row>
    <row r="19" spans="1:31">
      <c r="A19" s="8">
        <v>2023</v>
      </c>
      <c r="B19" s="8" t="s">
        <v>48</v>
      </c>
      <c r="C19" s="12">
        <v>561439512.12</v>
      </c>
      <c r="D19" s="12">
        <v>499088743.88999999</v>
      </c>
      <c r="E19" s="12">
        <v>45851624.07</v>
      </c>
      <c r="F19" s="12">
        <v>81058741.819999993</v>
      </c>
      <c r="G19" s="12">
        <v>110324425.62</v>
      </c>
      <c r="H19" s="12">
        <v>91643849.439999998</v>
      </c>
      <c r="I19" s="12">
        <v>405190728.73000002</v>
      </c>
      <c r="J19" s="12">
        <v>49816546.590000004</v>
      </c>
      <c r="K19" s="12">
        <v>100048714.81</v>
      </c>
      <c r="L19" s="6">
        <v>70616.001121534107</v>
      </c>
      <c r="M19" s="12">
        <v>3893678.7379999999</v>
      </c>
      <c r="N19" s="12">
        <v>55138.76</v>
      </c>
      <c r="O19" s="12">
        <v>613662963.47284555</v>
      </c>
      <c r="P19" s="12">
        <v>545512510.252424</v>
      </c>
      <c r="Q19" s="12">
        <v>50116607.22023616</v>
      </c>
      <c r="R19" s="12">
        <v>88598587.464591637</v>
      </c>
      <c r="S19" s="12">
        <v>120586479.0558922</v>
      </c>
      <c r="T19" s="12">
        <v>100168290.648182</v>
      </c>
      <c r="U19" s="12">
        <v>442880378.02196592</v>
      </c>
      <c r="V19" s="12">
        <v>54450335.166058712</v>
      </c>
      <c r="W19" s="12">
        <v>109354951.8631521</v>
      </c>
      <c r="X19" s="12">
        <v>60267.60520657101</v>
      </c>
      <c r="Y19" s="12">
        <v>8690.1403892397866</v>
      </c>
      <c r="Z19" s="12">
        <v>7725.0552507719367</v>
      </c>
      <c r="AA19" s="12">
        <v>4255857.2768593933</v>
      </c>
      <c r="AB19" s="7">
        <v>8.1667967929196692</v>
      </c>
      <c r="AC19" s="7">
        <v>72.169970225286889</v>
      </c>
      <c r="AD19" s="12">
        <v>62350768.230000019</v>
      </c>
      <c r="AE19" s="12">
        <v>68150453.220421553</v>
      </c>
    </row>
    <row r="20" spans="1:31">
      <c r="A20" s="11">
        <v>2023</v>
      </c>
      <c r="B20" s="11" t="s">
        <v>50</v>
      </c>
      <c r="C20" s="13">
        <v>340091826.58999997</v>
      </c>
      <c r="D20" s="13">
        <v>330556300.30000001</v>
      </c>
      <c r="E20" s="13">
        <v>16745080.189999999</v>
      </c>
      <c r="F20" s="13">
        <v>12945099.800000001</v>
      </c>
      <c r="G20" s="13">
        <v>111364417.22</v>
      </c>
      <c r="H20" s="13">
        <v>35563529.719999999</v>
      </c>
      <c r="I20" s="13">
        <v>309213096.67000002</v>
      </c>
      <c r="J20" s="13">
        <v>69213121.849999994</v>
      </c>
      <c r="K20" s="13">
        <v>8095600.3600000003</v>
      </c>
      <c r="L20" s="9">
        <v>73668.990115403678</v>
      </c>
      <c r="M20" s="13">
        <v>1619516.9779999999</v>
      </c>
      <c r="N20" s="13">
        <v>21983.7</v>
      </c>
      <c r="O20" s="13">
        <v>371726167.56176102</v>
      </c>
      <c r="P20" s="13">
        <v>361303674.67504042</v>
      </c>
      <c r="Q20" s="13">
        <v>18302658.2760166</v>
      </c>
      <c r="R20" s="13">
        <v>14149214.891775969</v>
      </c>
      <c r="S20" s="13">
        <v>121723207.6142956</v>
      </c>
      <c r="T20" s="13">
        <v>38871544.607044376</v>
      </c>
      <c r="U20" s="13">
        <v>337975189.04684901</v>
      </c>
      <c r="V20" s="13">
        <v>75651122.781326473</v>
      </c>
      <c r="W20" s="13">
        <v>8848629.2837679721</v>
      </c>
      <c r="X20" s="13">
        <v>24028.559085835361</v>
      </c>
      <c r="Y20" s="13">
        <v>5045.897425489964</v>
      </c>
      <c r="Z20" s="13">
        <v>4904.4200837971621</v>
      </c>
      <c r="AA20" s="13">
        <v>1770159.6817817979</v>
      </c>
      <c r="AB20" s="10">
        <v>4.9236938029055164</v>
      </c>
      <c r="AC20" s="10">
        <v>90.920472794182714</v>
      </c>
      <c r="AD20" s="13">
        <v>9535526.2899999619</v>
      </c>
      <c r="AE20" s="13">
        <v>10422492.8867206</v>
      </c>
    </row>
    <row r="21" spans="1:31">
      <c r="A21" s="8">
        <v>2024</v>
      </c>
      <c r="B21" s="8" t="s">
        <v>48</v>
      </c>
      <c r="C21" s="12">
        <v>677029883.78999996</v>
      </c>
      <c r="D21" s="12">
        <v>652666115.48000002</v>
      </c>
      <c r="E21" s="12">
        <v>52793162.030000001</v>
      </c>
      <c r="F21" s="12">
        <v>98935528.680000007</v>
      </c>
      <c r="G21" s="12">
        <v>253358239.02000001</v>
      </c>
      <c r="H21" s="12">
        <v>99851511.260000005</v>
      </c>
      <c r="I21" s="12">
        <v>553907116.26999998</v>
      </c>
      <c r="J21" s="12">
        <v>56935307.93</v>
      </c>
      <c r="K21" s="12">
        <v>14380417.65</v>
      </c>
      <c r="L21" s="6">
        <v>73820</v>
      </c>
      <c r="M21" s="12"/>
      <c r="N21" s="12"/>
      <c r="O21" s="12">
        <v>705901043.95376146</v>
      </c>
      <c r="P21" s="12">
        <v>680498310.78576565</v>
      </c>
      <c r="Q21" s="12">
        <v>55044465.662251949</v>
      </c>
      <c r="R21" s="12">
        <v>103154520.43028539</v>
      </c>
      <c r="S21" s="12">
        <v>264162409.5192506</v>
      </c>
      <c r="T21" s="12">
        <v>104109564.0331554</v>
      </c>
      <c r="U21" s="12">
        <v>577527847.72155106</v>
      </c>
      <c r="V21" s="12">
        <v>59363248.606736772</v>
      </c>
      <c r="W21" s="12">
        <v>14993654.00948057</v>
      </c>
      <c r="X21" s="12"/>
      <c r="Y21" s="12">
        <v>9562.4633426410383</v>
      </c>
      <c r="Z21" s="12">
        <v>9218.3461228090709</v>
      </c>
      <c r="AA21" s="12"/>
      <c r="AB21" s="7">
        <v>7.7977594924562146</v>
      </c>
      <c r="AC21" s="7">
        <v>81.81427873895889</v>
      </c>
      <c r="AD21" s="12">
        <v>24363768.309999939</v>
      </c>
      <c r="AE21" s="12">
        <v>25402733.167995811</v>
      </c>
    </row>
    <row r="22" spans="1:31">
      <c r="A22" s="11">
        <v>2024</v>
      </c>
      <c r="B22" s="11" t="s">
        <v>50</v>
      </c>
      <c r="C22" s="13">
        <v>501471222.51999998</v>
      </c>
      <c r="D22" s="13">
        <v>483328344.75</v>
      </c>
      <c r="E22" s="13">
        <v>17205704.760000002</v>
      </c>
      <c r="F22" s="13">
        <v>14044135.039999999</v>
      </c>
      <c r="G22" s="13">
        <v>244223684.12</v>
      </c>
      <c r="H22" s="13">
        <v>38744939.299999997</v>
      </c>
      <c r="I22" s="13">
        <v>464751644.48000002</v>
      </c>
      <c r="J22" s="13">
        <v>85514697.459999993</v>
      </c>
      <c r="K22" s="13">
        <v>13098644.24</v>
      </c>
      <c r="L22" s="9">
        <v>79278</v>
      </c>
      <c r="M22" s="13"/>
      <c r="N22" s="13"/>
      <c r="O22" s="13">
        <v>522855885.63390023</v>
      </c>
      <c r="P22" s="13">
        <v>503939325.72302198</v>
      </c>
      <c r="Q22" s="13">
        <v>17939422.236510139</v>
      </c>
      <c r="R22" s="13">
        <v>14643031.01462304</v>
      </c>
      <c r="S22" s="13">
        <v>254638322.03899539</v>
      </c>
      <c r="T22" s="13">
        <v>40397172.642793603</v>
      </c>
      <c r="U22" s="13">
        <v>484570443.45094109</v>
      </c>
      <c r="V22" s="13">
        <v>89161373.309672043</v>
      </c>
      <c r="W22" s="13">
        <v>13657220.84767375</v>
      </c>
      <c r="X22" s="13"/>
      <c r="Y22" s="13">
        <v>6595.2204348482583</v>
      </c>
      <c r="Z22" s="13">
        <v>6356.6099765763774</v>
      </c>
      <c r="AA22" s="13"/>
      <c r="AB22" s="10">
        <v>3.4310452898049979</v>
      </c>
      <c r="AC22" s="10">
        <v>92.677630063101873</v>
      </c>
      <c r="AD22" s="13">
        <v>18142877.769999981</v>
      </c>
      <c r="AE22" s="13">
        <v>18916559.910878241</v>
      </c>
    </row>
    <row r="23" spans="1:31">
      <c r="A23" s="8">
        <v>2025</v>
      </c>
      <c r="B23" s="8" t="s">
        <v>48</v>
      </c>
      <c r="C23" s="12">
        <v>731534482.05999994</v>
      </c>
      <c r="D23" s="12">
        <v>661033608.11000001</v>
      </c>
      <c r="E23" s="12">
        <v>60610963.43</v>
      </c>
      <c r="F23" s="12">
        <v>110287455.38</v>
      </c>
      <c r="G23" s="12">
        <v>284535362.27999997</v>
      </c>
      <c r="H23" s="12">
        <v>108045109.15000001</v>
      </c>
      <c r="I23" s="12">
        <v>624562189.58000004</v>
      </c>
      <c r="J23" s="12">
        <v>62567098.43</v>
      </c>
      <c r="K23" s="12">
        <v>92529438.920000002</v>
      </c>
      <c r="L23" s="6">
        <v>73576</v>
      </c>
      <c r="M23" s="12"/>
      <c r="N23" s="12"/>
      <c r="O23" s="12">
        <v>731534482.05999994</v>
      </c>
      <c r="P23" s="12">
        <v>661033608.11000001</v>
      </c>
      <c r="Q23" s="12">
        <v>60610963.43</v>
      </c>
      <c r="R23" s="12">
        <v>110287455.38</v>
      </c>
      <c r="S23" s="12">
        <v>284535362.27999997</v>
      </c>
      <c r="T23" s="12">
        <v>108045109.15000001</v>
      </c>
      <c r="U23" s="12">
        <v>624562189.58000004</v>
      </c>
      <c r="V23" s="12">
        <v>62567098.43</v>
      </c>
      <c r="W23" s="12">
        <v>92529438.920000002</v>
      </c>
      <c r="X23" s="12"/>
      <c r="Y23" s="12">
        <v>9942.5693440795912</v>
      </c>
      <c r="Z23" s="12">
        <v>8984.3645769000759</v>
      </c>
      <c r="AA23" s="12"/>
      <c r="AB23" s="7">
        <v>8.2854554250566039</v>
      </c>
      <c r="AC23" s="7">
        <v>85.37699929348976</v>
      </c>
      <c r="AD23" s="12">
        <v>70500873.949999928</v>
      </c>
      <c r="AE23" s="12">
        <v>70500873.949999928</v>
      </c>
    </row>
    <row r="24" spans="1:31">
      <c r="A24" s="11">
        <v>2025</v>
      </c>
      <c r="B24" s="11" t="s">
        <v>50</v>
      </c>
      <c r="C24" s="13">
        <v>704132066.38999999</v>
      </c>
      <c r="D24" s="13">
        <v>566535919.09000003</v>
      </c>
      <c r="E24" s="13">
        <v>18399415.989999998</v>
      </c>
      <c r="F24" s="13">
        <v>13976217.84</v>
      </c>
      <c r="G24" s="13">
        <v>274672201.92000002</v>
      </c>
      <c r="H24" s="13">
        <v>41924264.82</v>
      </c>
      <c r="I24" s="13">
        <v>593671539.87</v>
      </c>
      <c r="J24" s="13">
        <v>100046150.61</v>
      </c>
      <c r="K24" s="13">
        <v>13869508.51</v>
      </c>
      <c r="L24" s="9">
        <v>80137</v>
      </c>
      <c r="M24" s="13"/>
      <c r="N24" s="13"/>
      <c r="O24" s="13">
        <v>704132066.38999999</v>
      </c>
      <c r="P24" s="13">
        <v>566535919.09000003</v>
      </c>
      <c r="Q24" s="13">
        <v>18399415.989999998</v>
      </c>
      <c r="R24" s="13">
        <v>13976217.84</v>
      </c>
      <c r="S24" s="13">
        <v>274672201.92000002</v>
      </c>
      <c r="T24" s="13">
        <v>41924264.82</v>
      </c>
      <c r="U24" s="13">
        <v>593671539.87</v>
      </c>
      <c r="V24" s="13">
        <v>100046150.61</v>
      </c>
      <c r="W24" s="13">
        <v>13869508.51</v>
      </c>
      <c r="X24" s="13"/>
      <c r="Y24" s="13">
        <v>8786.6037709173033</v>
      </c>
      <c r="Z24" s="13">
        <v>7069.5923117910579</v>
      </c>
      <c r="AA24" s="13"/>
      <c r="AB24" s="10">
        <v>2.61306321189597</v>
      </c>
      <c r="AC24" s="10">
        <v>84.312527181680878</v>
      </c>
      <c r="AD24" s="13">
        <v>137596147.30000001</v>
      </c>
      <c r="AE24" s="13">
        <v>137596147.30000001</v>
      </c>
    </row>
  </sheetData>
  <autoFilter ref="A4:AE24" xr:uid="{00000000-0009-0000-0000-000003000000}"/>
  <mergeCells count="2">
    <mergeCell ref="A1:AE1"/>
    <mergeCell ref="A2:AE2"/>
  </mergeCells>
  <conditionalFormatting sqref="B5:AE24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E14"/>
  <sheetViews>
    <sheetView showGridLines="0" workbookViewId="0">
      <pane ySplit="4" topLeftCell="A5" activePane="bottomLeft" state="frozen"/>
      <selection pane="bottomLeft" activeCell="E6" sqref="E6"/>
    </sheetView>
  </sheetViews>
  <sheetFormatPr defaultRowHeight="15"/>
  <cols>
    <col min="1" max="1" width="12" customWidth="1"/>
    <col min="2" max="2" width="19" customWidth="1"/>
    <col min="3" max="3" width="21" customWidth="1"/>
    <col min="4" max="4" width="20.5703125" bestFit="1" customWidth="1"/>
    <col min="5" max="5" width="38.42578125" bestFit="1" customWidth="1"/>
  </cols>
  <sheetData>
    <row r="1" spans="1:5" ht="27.95" customHeight="1">
      <c r="A1" s="16" t="s">
        <v>89</v>
      </c>
      <c r="B1" s="18"/>
      <c r="C1" s="18"/>
      <c r="D1" s="18"/>
      <c r="E1" s="18"/>
    </row>
    <row r="2" spans="1:5" ht="42" customHeight="1">
      <c r="A2" s="15" t="s">
        <v>90</v>
      </c>
      <c r="B2" s="18"/>
      <c r="C2" s="18"/>
      <c r="D2" s="18"/>
      <c r="E2" s="18"/>
    </row>
    <row r="4" spans="1:5" ht="38.1" customHeight="1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</row>
    <row r="5" spans="1:5">
      <c r="A5" s="8">
        <v>2016</v>
      </c>
      <c r="B5" s="12">
        <v>6.2880550542244729</v>
      </c>
      <c r="C5" s="12">
        <v>1.1763270848002241</v>
      </c>
      <c r="D5" s="12">
        <v>1.550192276027603</v>
      </c>
      <c r="E5" s="8" t="s">
        <v>96</v>
      </c>
    </row>
    <row r="6" spans="1:5">
      <c r="A6" s="11">
        <v>2017</v>
      </c>
      <c r="B6" s="13">
        <v>2.9473499083459092</v>
      </c>
      <c r="C6" s="13">
        <v>1.210997560055932</v>
      </c>
      <c r="D6" s="13">
        <v>1.505810763859138</v>
      </c>
      <c r="E6" s="11" t="s">
        <v>96</v>
      </c>
    </row>
    <row r="7" spans="1:5">
      <c r="A7" s="8">
        <v>2018</v>
      </c>
      <c r="B7" s="12">
        <v>3.7454821218273482</v>
      </c>
      <c r="C7" s="12">
        <v>1.2563552571635921</v>
      </c>
      <c r="D7" s="12">
        <v>1.4514470732237561</v>
      </c>
      <c r="E7" s="8" t="s">
        <v>96</v>
      </c>
    </row>
    <row r="8" spans="1:5">
      <c r="A8" s="11">
        <v>2019</v>
      </c>
      <c r="B8" s="13">
        <v>4.3060399841131858</v>
      </c>
      <c r="C8" s="13">
        <v>1.310454416879564</v>
      </c>
      <c r="D8" s="13">
        <v>1.3915273491782689</v>
      </c>
      <c r="E8" s="11" t="s">
        <v>96</v>
      </c>
    </row>
    <row r="9" spans="1:5">
      <c r="A9" s="8">
        <v>2020</v>
      </c>
      <c r="B9" s="12">
        <v>4.517341500509886</v>
      </c>
      <c r="C9" s="12">
        <v>1.3696521180985299</v>
      </c>
      <c r="D9" s="12">
        <v>1.3313841791234999</v>
      </c>
      <c r="E9" s="8" t="s">
        <v>96</v>
      </c>
    </row>
    <row r="10" spans="1:5">
      <c r="A10" s="11">
        <v>2021</v>
      </c>
      <c r="B10" s="13">
        <v>10.0610548932579</v>
      </c>
      <c r="C10" s="13">
        <v>1.507453569547093</v>
      </c>
      <c r="D10" s="13">
        <v>1.209677828742179</v>
      </c>
      <c r="E10" s="11" t="s">
        <v>96</v>
      </c>
    </row>
    <row r="11" spans="1:5">
      <c r="A11" s="8">
        <v>2022</v>
      </c>
      <c r="B11" s="12">
        <v>5.784841959607756</v>
      </c>
      <c r="C11" s="12">
        <v>1.5946573761598579</v>
      </c>
      <c r="D11" s="12">
        <v>1.143526620953951</v>
      </c>
      <c r="E11" s="8" t="s">
        <v>96</v>
      </c>
    </row>
    <row r="12" spans="1:5">
      <c r="A12" s="11">
        <v>2023</v>
      </c>
      <c r="B12" s="13">
        <v>4.6211139305667892</v>
      </c>
      <c r="C12" s="13">
        <v>1.6683483103143919</v>
      </c>
      <c r="D12" s="13">
        <v>1.093017057448717</v>
      </c>
      <c r="E12" s="11" t="s">
        <v>96</v>
      </c>
    </row>
    <row r="13" spans="1:5">
      <c r="A13" s="8">
        <v>2024</v>
      </c>
      <c r="B13" s="12">
        <v>4.8312957918595911</v>
      </c>
      <c r="C13" s="12">
        <v>1.748951152024171</v>
      </c>
      <c r="D13" s="12">
        <v>1.04264384904569</v>
      </c>
      <c r="E13" s="8" t="s">
        <v>96</v>
      </c>
    </row>
    <row r="14" spans="1:5">
      <c r="A14" s="11">
        <v>2025</v>
      </c>
      <c r="B14" s="13">
        <v>4.2643849045689519</v>
      </c>
      <c r="C14" s="13">
        <v>1.823533160939375</v>
      </c>
      <c r="D14" s="13">
        <v>1</v>
      </c>
      <c r="E14" s="11" t="s">
        <v>96</v>
      </c>
    </row>
  </sheetData>
  <autoFilter ref="A4:E14" xr:uid="{00000000-0009-0000-0000-000004000000}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G19"/>
  <sheetViews>
    <sheetView showGridLines="0" workbookViewId="0">
      <pane ySplit="4" topLeftCell="B5" activePane="bottomLeft" state="frozen"/>
      <selection pane="bottomLeft" activeCell="C4" sqref="C4"/>
    </sheetView>
  </sheetViews>
  <sheetFormatPr defaultRowHeight="15"/>
  <cols>
    <col min="1" max="1" width="34" customWidth="1"/>
    <col min="2" max="2" width="36" customWidth="1"/>
    <col min="3" max="3" width="60" bestFit="1" customWidth="1"/>
    <col min="4" max="4" width="35" customWidth="1"/>
    <col min="5" max="5" width="12" customWidth="1"/>
    <col min="6" max="6" width="26" customWidth="1"/>
    <col min="7" max="7" width="62.7109375" bestFit="1" customWidth="1"/>
  </cols>
  <sheetData>
    <row r="1" spans="1:7" ht="27.95" customHeight="1">
      <c r="A1" s="16" t="s">
        <v>97</v>
      </c>
      <c r="B1" s="18"/>
      <c r="C1" s="18"/>
      <c r="D1" s="18"/>
      <c r="E1" s="18"/>
      <c r="F1" s="18"/>
      <c r="G1" s="18"/>
    </row>
    <row r="2" spans="1:7" ht="42" customHeight="1">
      <c r="A2" s="15" t="s">
        <v>98</v>
      </c>
      <c r="B2" s="18"/>
      <c r="C2" s="18"/>
      <c r="D2" s="18"/>
      <c r="E2" s="18"/>
      <c r="F2" s="18"/>
      <c r="G2" s="18"/>
    </row>
    <row r="4" spans="1:7" ht="38.1" customHeight="1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</row>
    <row r="5" spans="1:7">
      <c r="A5" s="8" t="s">
        <v>91</v>
      </c>
      <c r="B5" s="8" t="s">
        <v>106</v>
      </c>
      <c r="C5" s="8" t="s">
        <v>107</v>
      </c>
      <c r="D5" s="8" t="s">
        <v>108</v>
      </c>
      <c r="E5" s="8" t="s">
        <v>91</v>
      </c>
      <c r="F5" s="8" t="s">
        <v>109</v>
      </c>
      <c r="G5" s="8" t="s">
        <v>110</v>
      </c>
    </row>
    <row r="6" spans="1:7">
      <c r="A6" s="11" t="s">
        <v>111</v>
      </c>
      <c r="B6" s="11" t="s">
        <v>112</v>
      </c>
      <c r="C6" s="11" t="s">
        <v>113</v>
      </c>
      <c r="D6" s="11" t="s">
        <v>114</v>
      </c>
      <c r="E6" s="11" t="s">
        <v>115</v>
      </c>
      <c r="F6" s="11" t="s">
        <v>116</v>
      </c>
      <c r="G6" s="11" t="s">
        <v>117</v>
      </c>
    </row>
    <row r="7" spans="1:7">
      <c r="A7" s="8" t="s">
        <v>118</v>
      </c>
      <c r="B7" s="8" t="s">
        <v>119</v>
      </c>
      <c r="C7" s="8" t="s">
        <v>120</v>
      </c>
      <c r="D7" s="8" t="s">
        <v>114</v>
      </c>
      <c r="E7" s="8" t="s">
        <v>115</v>
      </c>
      <c r="F7" s="8" t="s">
        <v>116</v>
      </c>
      <c r="G7" s="8" t="s">
        <v>121</v>
      </c>
    </row>
    <row r="8" spans="1:7">
      <c r="A8" s="11" t="s">
        <v>122</v>
      </c>
      <c r="B8" s="11" t="s">
        <v>123</v>
      </c>
      <c r="C8" s="11" t="s">
        <v>124</v>
      </c>
      <c r="D8" s="11" t="s">
        <v>18</v>
      </c>
      <c r="E8" s="11" t="s">
        <v>115</v>
      </c>
      <c r="F8" s="11" t="s">
        <v>125</v>
      </c>
      <c r="G8" s="11" t="s">
        <v>126</v>
      </c>
    </row>
    <row r="9" spans="1:7">
      <c r="A9" s="8" t="s">
        <v>127</v>
      </c>
      <c r="B9" s="8" t="s">
        <v>128</v>
      </c>
      <c r="C9" s="8" t="s">
        <v>129</v>
      </c>
      <c r="D9" s="8" t="s">
        <v>18</v>
      </c>
      <c r="E9" s="8" t="s">
        <v>115</v>
      </c>
      <c r="F9" s="8" t="s">
        <v>125</v>
      </c>
      <c r="G9" s="8" t="s">
        <v>126</v>
      </c>
    </row>
    <row r="10" spans="1:7">
      <c r="A10" s="11" t="s">
        <v>130</v>
      </c>
      <c r="B10" s="11" t="s">
        <v>131</v>
      </c>
      <c r="C10" s="11" t="s">
        <v>132</v>
      </c>
      <c r="D10" s="11" t="s">
        <v>18</v>
      </c>
      <c r="E10" s="11" t="s">
        <v>115</v>
      </c>
      <c r="F10" s="11" t="s">
        <v>125</v>
      </c>
      <c r="G10" s="11" t="s">
        <v>133</v>
      </c>
    </row>
    <row r="11" spans="1:7" ht="45">
      <c r="A11" s="8" t="s">
        <v>134</v>
      </c>
      <c r="B11" s="8" t="s">
        <v>135</v>
      </c>
      <c r="C11" s="8" t="s">
        <v>136</v>
      </c>
      <c r="D11" s="8" t="s">
        <v>18</v>
      </c>
      <c r="E11" s="8" t="s">
        <v>115</v>
      </c>
      <c r="F11" s="8" t="s">
        <v>125</v>
      </c>
      <c r="G11" s="2" t="s">
        <v>137</v>
      </c>
    </row>
    <row r="12" spans="1:7">
      <c r="A12" s="11" t="s">
        <v>138</v>
      </c>
      <c r="B12" s="11" t="s">
        <v>139</v>
      </c>
      <c r="C12" s="11" t="s">
        <v>140</v>
      </c>
      <c r="D12" s="11" t="s">
        <v>18</v>
      </c>
      <c r="E12" s="11" t="s">
        <v>115</v>
      </c>
      <c r="F12" s="11" t="s">
        <v>125</v>
      </c>
      <c r="G12" s="11" t="s">
        <v>126</v>
      </c>
    </row>
    <row r="13" spans="1:7">
      <c r="A13" s="8" t="s">
        <v>141</v>
      </c>
      <c r="B13" s="8" t="s">
        <v>142</v>
      </c>
      <c r="C13" s="8" t="s">
        <v>143</v>
      </c>
      <c r="D13" s="8" t="s">
        <v>18</v>
      </c>
      <c r="E13" s="8" t="s">
        <v>115</v>
      </c>
      <c r="F13" s="8" t="s">
        <v>125</v>
      </c>
      <c r="G13" s="8" t="s">
        <v>126</v>
      </c>
    </row>
    <row r="14" spans="1:7">
      <c r="A14" s="11" t="s">
        <v>144</v>
      </c>
      <c r="B14" s="11" t="s">
        <v>145</v>
      </c>
      <c r="C14" s="11" t="s">
        <v>146</v>
      </c>
      <c r="D14" s="11" t="s">
        <v>18</v>
      </c>
      <c r="E14" s="11" t="s">
        <v>115</v>
      </c>
      <c r="F14" s="11" t="s">
        <v>125</v>
      </c>
      <c r="G14" s="11" t="s">
        <v>147</v>
      </c>
    </row>
    <row r="15" spans="1:7" ht="60">
      <c r="A15" s="8" t="s">
        <v>148</v>
      </c>
      <c r="B15" s="2" t="s">
        <v>149</v>
      </c>
      <c r="C15" s="2" t="s">
        <v>150</v>
      </c>
      <c r="D15" s="8" t="s">
        <v>18</v>
      </c>
      <c r="E15" s="8" t="s">
        <v>151</v>
      </c>
      <c r="F15" s="8" t="s">
        <v>152</v>
      </c>
      <c r="G15" s="2" t="s">
        <v>153</v>
      </c>
    </row>
    <row r="16" spans="1:7">
      <c r="A16" s="11" t="s">
        <v>154</v>
      </c>
      <c r="B16" s="11" t="s">
        <v>155</v>
      </c>
      <c r="C16" s="11" t="s">
        <v>156</v>
      </c>
      <c r="D16" s="11" t="s">
        <v>157</v>
      </c>
      <c r="E16" s="11" t="s">
        <v>158</v>
      </c>
      <c r="F16" s="11" t="s">
        <v>159</v>
      </c>
      <c r="G16" s="11" t="s">
        <v>160</v>
      </c>
    </row>
    <row r="17" spans="1:7">
      <c r="A17" s="8" t="s">
        <v>161</v>
      </c>
      <c r="B17" s="8" t="s">
        <v>162</v>
      </c>
      <c r="C17" s="8" t="s">
        <v>163</v>
      </c>
      <c r="D17" s="8" t="s">
        <v>164</v>
      </c>
      <c r="E17" s="8" t="s">
        <v>165</v>
      </c>
      <c r="F17" s="8" t="s">
        <v>125</v>
      </c>
      <c r="G17" s="8" t="s">
        <v>166</v>
      </c>
    </row>
    <row r="18" spans="1:7">
      <c r="A18" s="11" t="s">
        <v>167</v>
      </c>
      <c r="B18" s="11" t="s">
        <v>168</v>
      </c>
      <c r="C18" s="11" t="s">
        <v>169</v>
      </c>
      <c r="D18" s="11" t="s">
        <v>164</v>
      </c>
      <c r="E18" s="11" t="s">
        <v>165</v>
      </c>
      <c r="F18" s="11" t="s">
        <v>125</v>
      </c>
      <c r="G18" s="11" t="s">
        <v>166</v>
      </c>
    </row>
    <row r="19" spans="1:7">
      <c r="A19" s="8" t="s">
        <v>170</v>
      </c>
      <c r="B19" s="8" t="s">
        <v>171</v>
      </c>
      <c r="C19" s="8" t="s">
        <v>172</v>
      </c>
      <c r="D19" s="8" t="s">
        <v>164</v>
      </c>
      <c r="E19" s="8" t="s">
        <v>173</v>
      </c>
      <c r="F19" s="8" t="s">
        <v>125</v>
      </c>
      <c r="G19" s="8" t="s">
        <v>174</v>
      </c>
    </row>
  </sheetData>
  <autoFilter ref="A4:G19" xr:uid="{00000000-0009-0000-0000-000005000000}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D13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5"/>
  <cols>
    <col min="1" max="2" width="26" customWidth="1"/>
    <col min="3" max="3" width="61.42578125" bestFit="1" customWidth="1"/>
    <col min="4" max="4" width="68.42578125" bestFit="1" customWidth="1"/>
  </cols>
  <sheetData>
    <row r="1" spans="1:4" ht="27.95" customHeight="1">
      <c r="A1" s="16" t="s">
        <v>175</v>
      </c>
      <c r="B1" s="18"/>
      <c r="C1" s="18"/>
      <c r="D1" s="18"/>
    </row>
    <row r="2" spans="1:4" ht="42" customHeight="1">
      <c r="A2" s="15" t="s">
        <v>176</v>
      </c>
      <c r="B2" s="18"/>
      <c r="C2" s="18"/>
      <c r="D2" s="18"/>
    </row>
    <row r="4" spans="1:4" ht="38.1" customHeight="1">
      <c r="A4" s="5" t="s">
        <v>177</v>
      </c>
      <c r="B4" s="5" t="s">
        <v>178</v>
      </c>
      <c r="C4" s="5" t="s">
        <v>179</v>
      </c>
      <c r="D4" s="5" t="s">
        <v>180</v>
      </c>
    </row>
    <row r="5" spans="1:4">
      <c r="A5" s="8" t="s">
        <v>181</v>
      </c>
      <c r="B5" s="8" t="s">
        <v>182</v>
      </c>
      <c r="C5" s="8" t="s">
        <v>183</v>
      </c>
      <c r="D5" s="8" t="s">
        <v>184</v>
      </c>
    </row>
    <row r="6" spans="1:4" ht="45">
      <c r="A6" s="11" t="s">
        <v>185</v>
      </c>
      <c r="B6" s="11" t="s">
        <v>186</v>
      </c>
      <c r="C6" s="3" t="s">
        <v>187</v>
      </c>
      <c r="D6" s="3" t="s">
        <v>188</v>
      </c>
    </row>
    <row r="7" spans="1:4" ht="30">
      <c r="A7" s="8" t="s">
        <v>185</v>
      </c>
      <c r="B7" s="8" t="s">
        <v>189</v>
      </c>
      <c r="C7" s="8" t="s">
        <v>190</v>
      </c>
      <c r="D7" s="2" t="s">
        <v>191</v>
      </c>
    </row>
    <row r="8" spans="1:4">
      <c r="A8" s="11" t="s">
        <v>185</v>
      </c>
      <c r="B8" s="11" t="s">
        <v>192</v>
      </c>
      <c r="C8" s="11" t="s">
        <v>193</v>
      </c>
      <c r="D8" s="11" t="s">
        <v>194</v>
      </c>
    </row>
    <row r="9" spans="1:4" ht="45">
      <c r="A9" s="8" t="s">
        <v>185</v>
      </c>
      <c r="B9" s="8" t="s">
        <v>195</v>
      </c>
      <c r="C9" s="8" t="s">
        <v>196</v>
      </c>
      <c r="D9" s="2" t="s">
        <v>197</v>
      </c>
    </row>
    <row r="10" spans="1:4" ht="45">
      <c r="A10" s="11" t="s">
        <v>198</v>
      </c>
      <c r="B10" s="11" t="s">
        <v>199</v>
      </c>
      <c r="C10" s="3" t="s">
        <v>200</v>
      </c>
      <c r="D10" s="3" t="s">
        <v>201</v>
      </c>
    </row>
    <row r="11" spans="1:4" ht="60">
      <c r="A11" s="8" t="s">
        <v>198</v>
      </c>
      <c r="B11" s="8" t="s">
        <v>202</v>
      </c>
      <c r="C11" s="2" t="s">
        <v>203</v>
      </c>
      <c r="D11" s="8" t="s">
        <v>204</v>
      </c>
    </row>
    <row r="12" spans="1:4" ht="45">
      <c r="A12" s="11" t="s">
        <v>205</v>
      </c>
      <c r="B12" s="11" t="s">
        <v>206</v>
      </c>
      <c r="C12" s="3" t="s">
        <v>207</v>
      </c>
      <c r="D12" s="11" t="s">
        <v>208</v>
      </c>
    </row>
    <row r="13" spans="1:4" ht="45">
      <c r="A13" s="8" t="s">
        <v>209</v>
      </c>
      <c r="B13" s="8" t="s">
        <v>210</v>
      </c>
      <c r="C13" s="2" t="s">
        <v>211</v>
      </c>
      <c r="D13" s="8" t="s">
        <v>212</v>
      </c>
    </row>
  </sheetData>
  <autoFilter ref="A4:D13" xr:uid="{00000000-0009-0000-0000-000006000000}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D12"/>
  <sheetViews>
    <sheetView showGridLines="0" tabSelected="1" workbookViewId="0">
      <pane ySplit="4" topLeftCell="A9" activePane="bottomLeft" state="frozen"/>
      <selection pane="bottomLeft" activeCell="G5" sqref="G5"/>
    </sheetView>
  </sheetViews>
  <sheetFormatPr defaultRowHeight="15"/>
  <cols>
    <col min="1" max="1" width="8" customWidth="1"/>
    <col min="2" max="2" width="44.85546875" bestFit="1" customWidth="1"/>
    <col min="3" max="3" width="42.5703125" bestFit="1" customWidth="1"/>
    <col min="4" max="4" width="42" customWidth="1"/>
  </cols>
  <sheetData>
    <row r="1" spans="1:4" ht="27.95" customHeight="1">
      <c r="A1" s="16" t="s">
        <v>213</v>
      </c>
      <c r="B1" s="18"/>
      <c r="C1" s="18"/>
      <c r="D1" s="18"/>
    </row>
    <row r="2" spans="1:4" ht="42" customHeight="1">
      <c r="A2" s="15" t="s">
        <v>214</v>
      </c>
      <c r="B2" s="18"/>
      <c r="C2" s="18"/>
      <c r="D2" s="18"/>
    </row>
    <row r="4" spans="1:4" ht="38.1" customHeight="1">
      <c r="A4" s="5" t="s">
        <v>215</v>
      </c>
      <c r="B4" s="5" t="s">
        <v>216</v>
      </c>
      <c r="C4" s="5" t="s">
        <v>217</v>
      </c>
      <c r="D4" s="5" t="s">
        <v>218</v>
      </c>
    </row>
    <row r="5" spans="1:4" ht="78" customHeight="1">
      <c r="A5" s="8" t="s">
        <v>219</v>
      </c>
      <c r="B5" s="8" t="s">
        <v>220</v>
      </c>
      <c r="C5" s="8" t="s">
        <v>221</v>
      </c>
      <c r="D5" s="14" t="s">
        <v>222</v>
      </c>
    </row>
    <row r="6" spans="1:4" ht="78" customHeight="1">
      <c r="A6" s="11" t="s">
        <v>223</v>
      </c>
      <c r="B6" s="11" t="s">
        <v>224</v>
      </c>
      <c r="C6" s="11" t="s">
        <v>225</v>
      </c>
      <c r="D6" s="14" t="s">
        <v>226</v>
      </c>
    </row>
    <row r="7" spans="1:4" ht="78" customHeight="1">
      <c r="A7" s="8" t="s">
        <v>227</v>
      </c>
      <c r="B7" s="8" t="s">
        <v>228</v>
      </c>
      <c r="C7" s="8" t="s">
        <v>229</v>
      </c>
      <c r="D7" s="14" t="s">
        <v>230</v>
      </c>
    </row>
    <row r="8" spans="1:4" ht="78" customHeight="1">
      <c r="A8" s="11" t="s">
        <v>231</v>
      </c>
      <c r="B8" s="11" t="s">
        <v>232</v>
      </c>
      <c r="C8" s="11" t="s">
        <v>233</v>
      </c>
      <c r="D8" s="14" t="s">
        <v>234</v>
      </c>
    </row>
    <row r="9" spans="1:4" ht="78" customHeight="1">
      <c r="A9" s="8" t="s">
        <v>235</v>
      </c>
      <c r="B9" s="8" t="s">
        <v>236</v>
      </c>
      <c r="C9" s="8" t="s">
        <v>237</v>
      </c>
      <c r="D9" s="14" t="s">
        <v>238</v>
      </c>
    </row>
    <row r="10" spans="1:4" ht="78" customHeight="1">
      <c r="A10" s="11" t="s">
        <v>239</v>
      </c>
      <c r="B10" s="11" t="s">
        <v>236</v>
      </c>
      <c r="C10" s="11" t="s">
        <v>240</v>
      </c>
      <c r="D10" s="14" t="s">
        <v>241</v>
      </c>
    </row>
    <row r="11" spans="1:4" ht="78" customHeight="1">
      <c r="A11" s="8" t="s">
        <v>242</v>
      </c>
      <c r="B11" s="8" t="s">
        <v>243</v>
      </c>
      <c r="C11" s="8" t="s">
        <v>244</v>
      </c>
      <c r="D11" s="14" t="s">
        <v>245</v>
      </c>
    </row>
    <row r="12" spans="1:4" ht="78" customHeight="1">
      <c r="A12" s="11" t="s">
        <v>246</v>
      </c>
      <c r="B12" s="11" t="s">
        <v>247</v>
      </c>
      <c r="C12" s="11" t="s">
        <v>248</v>
      </c>
      <c r="D12" s="14" t="s">
        <v>249</v>
      </c>
    </row>
  </sheetData>
  <autoFilter ref="A4:D12" xr:uid="{00000000-0009-0000-0000-000007000000}"/>
  <mergeCells count="2">
    <mergeCell ref="A2:D2"/>
    <mergeCell ref="A1:D1"/>
  </mergeCells>
  <hyperlinks>
    <hyperlink ref="D5" r:id="rId1" xr:uid="{00000000-0004-0000-0700-000000000000}"/>
    <hyperlink ref="D6" r:id="rId2" xr:uid="{00000000-0004-0000-0700-000002000000}"/>
    <hyperlink ref="D7" r:id="rId3" xr:uid="{00000000-0004-0000-0700-000004000000}"/>
    <hyperlink ref="D8" r:id="rId4" xr:uid="{00000000-0004-0000-0700-000006000000}"/>
    <hyperlink ref="D9" r:id="rId5" xr:uid="{00000000-0004-0000-0700-000008000000}"/>
    <hyperlink ref="D10" r:id="rId6" xr:uid="{00000000-0004-0000-0700-00000A000000}"/>
    <hyperlink ref="D11" r:id="rId7" xr:uid="{00000000-0004-0000-0700-00000C000000}"/>
    <hyperlink ref="D12" r:id="rId8" xr:uid="{00000000-0004-0000-07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2026-10-21T17:54:44Z</dcterms:created>
  <dcterms:modified xsi:type="dcterms:W3CDTF">2026-10-22T21:22:30Z</dcterms:modified>
  <cp:category/>
  <cp:contentStatus/>
</cp:coreProperties>
</file>